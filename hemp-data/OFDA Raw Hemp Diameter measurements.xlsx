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esema\Desktop\"/>
    </mc:Choice>
  </mc:AlternateContent>
  <xr:revisionPtr revIDLastSave="0" documentId="13_ncr:1_{98CD8503-5D5E-4797-902A-DC90E39C6CD7}" xr6:coauthVersionLast="47" xr6:coauthVersionMax="47" xr10:uidLastSave="{00000000-0000-0000-0000-000000000000}"/>
  <bookViews>
    <workbookView xWindow="-120" yWindow="-120" windowWidth="29040" windowHeight="17640" xr2:uid="{47D7666B-9314-46C0-935C-DF1652608175}"/>
  </bookViews>
  <sheets>
    <sheet name="OFDA Raw Hemp diameter data" sheetId="1" r:id="rId1"/>
    <sheet name="OFDA Raw Hemp fiber dia(Avg) " sheetId="2" r:id="rId2"/>
    <sheet name="Cottonscop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7" i="1" l="1"/>
  <c r="E517" i="1"/>
  <c r="D517" i="1"/>
  <c r="C517" i="1"/>
  <c r="F508" i="1"/>
  <c r="E508" i="1"/>
  <c r="D508" i="1"/>
  <c r="C508" i="1"/>
  <c r="F499" i="1"/>
  <c r="E499" i="1"/>
  <c r="D499" i="1"/>
  <c r="C499" i="1"/>
  <c r="F490" i="1"/>
  <c r="E490" i="1"/>
  <c r="D490" i="1"/>
  <c r="C490" i="1"/>
  <c r="F481" i="1"/>
  <c r="E481" i="1"/>
  <c r="D481" i="1"/>
  <c r="C481" i="1"/>
  <c r="F472" i="1"/>
  <c r="E472" i="1"/>
  <c r="D472" i="1"/>
  <c r="C472" i="1"/>
  <c r="F463" i="1"/>
  <c r="E463" i="1"/>
  <c r="D463" i="1"/>
  <c r="C463" i="1"/>
  <c r="F454" i="1"/>
  <c r="E454" i="1"/>
  <c r="D454" i="1"/>
  <c r="C454" i="1"/>
  <c r="F445" i="1"/>
  <c r="E445" i="1"/>
  <c r="D445" i="1"/>
  <c r="C445" i="1"/>
  <c r="F436" i="1"/>
  <c r="E436" i="1"/>
  <c r="D436" i="1"/>
  <c r="C436" i="1"/>
  <c r="F427" i="1"/>
  <c r="E427" i="1"/>
  <c r="D427" i="1"/>
  <c r="C427" i="1"/>
  <c r="F413" i="1"/>
  <c r="E413" i="1"/>
  <c r="D413" i="1"/>
  <c r="C413" i="1"/>
  <c r="F404" i="1"/>
  <c r="E404" i="1"/>
  <c r="D404" i="1"/>
  <c r="C404" i="1"/>
  <c r="F395" i="1"/>
  <c r="E395" i="1"/>
  <c r="D395" i="1"/>
  <c r="C395" i="1"/>
  <c r="F386" i="1"/>
  <c r="E386" i="1"/>
  <c r="D386" i="1"/>
  <c r="C386" i="1"/>
  <c r="F377" i="1"/>
  <c r="E377" i="1"/>
  <c r="D377" i="1"/>
  <c r="C377" i="1"/>
  <c r="F368" i="1"/>
  <c r="E368" i="1"/>
  <c r="D368" i="1"/>
  <c r="C368" i="1"/>
  <c r="F359" i="1"/>
  <c r="E359" i="1"/>
  <c r="D359" i="1"/>
  <c r="C359" i="1"/>
  <c r="F350" i="1"/>
  <c r="E350" i="1"/>
  <c r="D350" i="1"/>
  <c r="C350" i="1"/>
  <c r="F341" i="1"/>
  <c r="E341" i="1"/>
  <c r="D341" i="1"/>
  <c r="C341" i="1"/>
  <c r="F332" i="1"/>
  <c r="E332" i="1"/>
  <c r="D332" i="1"/>
  <c r="C332" i="1"/>
  <c r="F323" i="1"/>
  <c r="E323" i="1"/>
  <c r="D323" i="1"/>
  <c r="C323" i="1"/>
  <c r="F309" i="1"/>
  <c r="E309" i="1"/>
  <c r="D309" i="1"/>
  <c r="C309" i="1"/>
  <c r="F300" i="1"/>
  <c r="E300" i="1"/>
  <c r="D300" i="1"/>
  <c r="C300" i="1"/>
  <c r="F291" i="1"/>
  <c r="E291" i="1"/>
  <c r="D291" i="1"/>
  <c r="C291" i="1"/>
  <c r="F282" i="1"/>
  <c r="E282" i="1"/>
  <c r="D282" i="1"/>
  <c r="C282" i="1"/>
  <c r="F273" i="1"/>
  <c r="E273" i="1"/>
  <c r="D273" i="1"/>
  <c r="C273" i="1"/>
  <c r="F264" i="1"/>
  <c r="E264" i="1"/>
  <c r="D264" i="1"/>
  <c r="C264" i="1"/>
  <c r="F255" i="1"/>
  <c r="E255" i="1"/>
  <c r="D255" i="1"/>
  <c r="C255" i="1"/>
  <c r="F246" i="1"/>
  <c r="E246" i="1"/>
  <c r="D246" i="1"/>
  <c r="C246" i="1"/>
  <c r="F237" i="1"/>
  <c r="E237" i="1"/>
  <c r="D237" i="1"/>
  <c r="C237" i="1"/>
  <c r="F228" i="1"/>
  <c r="E228" i="1"/>
  <c r="D228" i="1"/>
  <c r="C228" i="1"/>
  <c r="F219" i="1"/>
  <c r="E219" i="1"/>
  <c r="D219" i="1"/>
  <c r="C219" i="1"/>
  <c r="F205" i="1"/>
  <c r="E205" i="1"/>
  <c r="D205" i="1"/>
  <c r="C205" i="1"/>
  <c r="F196" i="1"/>
  <c r="E196" i="1"/>
  <c r="D196" i="1"/>
  <c r="C196" i="1"/>
  <c r="F187" i="1"/>
  <c r="E187" i="1"/>
  <c r="D187" i="1"/>
  <c r="C187" i="1"/>
  <c r="F178" i="1"/>
  <c r="E178" i="1"/>
  <c r="D178" i="1"/>
  <c r="C178" i="1"/>
  <c r="F169" i="1"/>
  <c r="E169" i="1"/>
  <c r="D169" i="1"/>
  <c r="C169" i="1"/>
  <c r="F160" i="1"/>
  <c r="E160" i="1"/>
  <c r="D160" i="1"/>
  <c r="C160" i="1"/>
  <c r="F151" i="1"/>
  <c r="E151" i="1"/>
  <c r="D151" i="1"/>
  <c r="C151" i="1"/>
  <c r="F142" i="1"/>
  <c r="E142" i="1"/>
  <c r="D142" i="1"/>
  <c r="C142" i="1"/>
  <c r="F133" i="1"/>
  <c r="E133" i="1"/>
  <c r="D133" i="1"/>
  <c r="C133" i="1"/>
  <c r="F124" i="1"/>
  <c r="E124" i="1"/>
  <c r="D124" i="1"/>
  <c r="C124" i="1"/>
  <c r="F115" i="1"/>
  <c r="E115" i="1"/>
  <c r="D115" i="1"/>
  <c r="C115" i="1"/>
  <c r="F101" i="1"/>
  <c r="E101" i="1"/>
  <c r="D101" i="1"/>
  <c r="C101" i="1"/>
  <c r="F92" i="1"/>
  <c r="E92" i="1"/>
  <c r="D92" i="1"/>
  <c r="C92" i="1"/>
  <c r="F83" i="1"/>
  <c r="E83" i="1"/>
  <c r="D83" i="1"/>
  <c r="C83" i="1"/>
  <c r="F74" i="1"/>
  <c r="E74" i="1"/>
  <c r="D74" i="1"/>
  <c r="C74" i="1"/>
  <c r="F65" i="1"/>
  <c r="E65" i="1"/>
  <c r="D65" i="1"/>
  <c r="C65" i="1"/>
  <c r="F56" i="1"/>
  <c r="E56" i="1"/>
  <c r="D56" i="1"/>
  <c r="C56" i="1"/>
  <c r="F47" i="1"/>
  <c r="E47" i="1"/>
  <c r="D47" i="1"/>
  <c r="C47" i="1"/>
  <c r="F38" i="1"/>
  <c r="E38" i="1"/>
  <c r="D38" i="1"/>
  <c r="C38" i="1"/>
  <c r="F29" i="1"/>
  <c r="E29" i="1"/>
  <c r="D29" i="1"/>
  <c r="C29" i="1"/>
  <c r="F20" i="1"/>
  <c r="E20" i="1"/>
  <c r="D20" i="1"/>
  <c r="C20" i="1"/>
  <c r="F11" i="1"/>
  <c r="E11" i="1"/>
  <c r="D11" i="1"/>
  <c r="C11" i="1"/>
</calcChain>
</file>

<file path=xl/sharedStrings.xml><?xml version="1.0" encoding="utf-8"?>
<sst xmlns="http://schemas.openxmlformats.org/spreadsheetml/2006/main" count="824" uniqueCount="124">
  <si>
    <t>SampleID</t>
  </si>
  <si>
    <t xml:space="preserve"> Description</t>
  </si>
  <si>
    <t xml:space="preserve"> meanD</t>
  </si>
  <si>
    <t xml:space="preserve"> numD</t>
  </si>
  <si>
    <t>temp C</t>
  </si>
  <si>
    <t>RH%</t>
  </si>
  <si>
    <t>Day 01</t>
  </si>
  <si>
    <t xml:space="preserve"> </t>
  </si>
  <si>
    <t xml:space="preserve"> um</t>
  </si>
  <si>
    <t>Hemp_USDA_01_01</t>
  </si>
  <si>
    <t>Hemp_USDA_01_02</t>
  </si>
  <si>
    <t>Hemp_USDA_01_03</t>
  </si>
  <si>
    <t>Hemp_USDA_01_04</t>
  </si>
  <si>
    <t>Hemp_USDA_01_05</t>
  </si>
  <si>
    <t>Hemp_USDA_01_06</t>
  </si>
  <si>
    <t>Hemp_USDA_02_01</t>
  </si>
  <si>
    <t>Hemp_USDA_02_02</t>
  </si>
  <si>
    <t>Hemp_USDA_02_03</t>
  </si>
  <si>
    <t>Hemp_USDA_02_04</t>
  </si>
  <si>
    <t>Hemp_USDA_02_05</t>
  </si>
  <si>
    <t>Hemp_USDA_02_06</t>
  </si>
  <si>
    <t>Hemp_USDA_03_01</t>
  </si>
  <si>
    <t>Hemp_USDA_03_02</t>
  </si>
  <si>
    <t>Hemp_USDA_03_03</t>
  </si>
  <si>
    <t>Hemp_USDA_03_04</t>
  </si>
  <si>
    <t>Hemp_USDA_03_05</t>
  </si>
  <si>
    <t>Hemp_USDA_03_06</t>
  </si>
  <si>
    <t>Hemp_USDA_04_01</t>
  </si>
  <si>
    <t>Hemp_USDA_04_02</t>
  </si>
  <si>
    <t>Hemp_USDA_04_03</t>
  </si>
  <si>
    <t>Hemp_USDA_04_04</t>
  </si>
  <si>
    <t>Hemp_USDA_04_05</t>
  </si>
  <si>
    <t>Hemp_USDA_04_06</t>
  </si>
  <si>
    <t>Hemp_USDA_05_01</t>
  </si>
  <si>
    <t>Hemp_USDA_05_02</t>
  </si>
  <si>
    <t>Hemp_USDA_05_03</t>
  </si>
  <si>
    <t>Hemp_USDA_05_04</t>
  </si>
  <si>
    <t>Hemp_USDA_05_05</t>
  </si>
  <si>
    <t>Hemp_USDA_05_06</t>
  </si>
  <si>
    <t>Hemp_USDA_06_01</t>
  </si>
  <si>
    <t>Hemp_USDA_06_02</t>
  </si>
  <si>
    <t>Hemp_USDA_06_03</t>
  </si>
  <si>
    <t>Hemp_USDA_06_04</t>
  </si>
  <si>
    <t>Hemp_USDA_06_05</t>
  </si>
  <si>
    <t>Hemp_USDA_06_06</t>
  </si>
  <si>
    <t>Hemp_USDA_07_01</t>
  </si>
  <si>
    <t>Hemp_USDA_07_02</t>
  </si>
  <si>
    <t>Hemp_USDA_07_03</t>
  </si>
  <si>
    <t>Hemp_USDA_07_04</t>
  </si>
  <si>
    <t>Hemp_USDA_07_05</t>
  </si>
  <si>
    <t>Hemp_USDA_07_06</t>
  </si>
  <si>
    <t>Hemp_USDA_08_01</t>
  </si>
  <si>
    <t>Hemp_USDA_08_02</t>
  </si>
  <si>
    <t>Hemp_USDA_08_03</t>
  </si>
  <si>
    <t>Hemp_USDA_08_04</t>
  </si>
  <si>
    <t>Hemp_USDA_08_05</t>
  </si>
  <si>
    <t>Hemp_USDA_08_06</t>
  </si>
  <si>
    <t>Hemp_USDA_09_01</t>
  </si>
  <si>
    <t>Hemp_USDA_09_02</t>
  </si>
  <si>
    <t>Hemp_USDA_09_03</t>
  </si>
  <si>
    <t>Hemp_USDA_09_04</t>
  </si>
  <si>
    <t>Hemp_USDA_09_05</t>
  </si>
  <si>
    <t>Hemp_USDA_09_06</t>
  </si>
  <si>
    <t>Hemp_USDA_10_01</t>
  </si>
  <si>
    <t>Hemp_USDA_10_02</t>
  </si>
  <si>
    <t>Hemp_USDA_10_03</t>
  </si>
  <si>
    <t>Hemp_USDA_10_04</t>
  </si>
  <si>
    <t>Hemp_USDA_10_05</t>
  </si>
  <si>
    <t>Hemp_USDA_10_06</t>
  </si>
  <si>
    <t>Hemp_USDA_11_01</t>
  </si>
  <si>
    <t>Hemp_USDA_11_02</t>
  </si>
  <si>
    <t>Hemp_USDA_11_03</t>
  </si>
  <si>
    <t>Hemp_USDA_11_04</t>
  </si>
  <si>
    <t>Hemp_USDA_11_05</t>
  </si>
  <si>
    <t>Hemp_USDA_11_06</t>
  </si>
  <si>
    <t>Day 02</t>
  </si>
  <si>
    <t>Day 03</t>
  </si>
  <si>
    <t>Day 04</t>
  </si>
  <si>
    <t>Day 05</t>
  </si>
  <si>
    <t>Slide mode testing</t>
  </si>
  <si>
    <t>Raw Hemp</t>
  </si>
  <si>
    <t>Sample ID</t>
  </si>
  <si>
    <t>Day 1</t>
  </si>
  <si>
    <t>Day 2</t>
  </si>
  <si>
    <t>Day 3</t>
  </si>
  <si>
    <t>Day 4</t>
  </si>
  <si>
    <t>Day 5</t>
  </si>
  <si>
    <t>Mean D (μm)</t>
  </si>
  <si>
    <t>Avg.</t>
  </si>
  <si>
    <t>Std.Dev.</t>
  </si>
  <si>
    <t>CV%</t>
  </si>
  <si>
    <t>CI</t>
  </si>
  <si>
    <t>Hemp_USDA_01</t>
  </si>
  <si>
    <t>01</t>
  </si>
  <si>
    <t>Hemp_USDA_02</t>
  </si>
  <si>
    <t>02</t>
  </si>
  <si>
    <t>Hemp_USDA_03</t>
  </si>
  <si>
    <t>03</t>
  </si>
  <si>
    <t>Hemp_USDA_04</t>
  </si>
  <si>
    <t>04</t>
  </si>
  <si>
    <t>Hemp_USDA_05</t>
  </si>
  <si>
    <t>05</t>
  </si>
  <si>
    <t>Hemp_USDA_06</t>
  </si>
  <si>
    <t>06</t>
  </si>
  <si>
    <t>Hemp_USDA_07</t>
  </si>
  <si>
    <t>07</t>
  </si>
  <si>
    <t>Hemp_USDA_08</t>
  </si>
  <si>
    <t>08</t>
  </si>
  <si>
    <t>Hemp_USDA_09</t>
  </si>
  <si>
    <t>09</t>
  </si>
  <si>
    <t>Hemp_USDA_10</t>
  </si>
  <si>
    <t>10</t>
  </si>
  <si>
    <t>Hemp_USDA_11</t>
  </si>
  <si>
    <t>11</t>
  </si>
  <si>
    <t xml:space="preserve">N.B. </t>
  </si>
  <si>
    <t xml:space="preserve">These raw hemp fiber samples are mechanically decorticated. </t>
  </si>
  <si>
    <t>Average</t>
  </si>
  <si>
    <t>No.</t>
  </si>
  <si>
    <t xml:space="preserve"> SampleID</t>
  </si>
  <si>
    <t xml:space="preserve"> Wd(um)</t>
  </si>
  <si>
    <t>DL-01</t>
  </si>
  <si>
    <t>CT_01</t>
  </si>
  <si>
    <t>Note</t>
  </si>
  <si>
    <t>Samples 1-11 are raw hemp, sample 12 is delignified hemp sample and sample 13 cottonized hemp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</si>
</sst>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49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0" fontId="3" fillId="0" borderId="0" xfId="0" applyFont="1"/>
    <xf numFmtId="49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1CA1-90E0-4D85-8819-5F02496E9C85}">
  <dimension ref="A1:F518"/>
  <sheetViews>
    <sheetView tabSelected="1" zoomScaleNormal="100" workbookViewId="0">
      <selection activeCell="K9" sqref="K9"/>
    </sheetView>
  </sheetViews>
  <sheetFormatPr defaultRowHeight="15" x14ac:dyDescent="0.25"/>
  <cols>
    <col min="1" max="1" width="19.7109375" bestFit="1" customWidth="1"/>
    <col min="2" max="2" width="16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t="s">
        <v>7</v>
      </c>
      <c r="C2" t="s">
        <v>8</v>
      </c>
      <c r="D2" t="s">
        <v>7</v>
      </c>
    </row>
    <row r="4" spans="1:6" x14ac:dyDescent="0.25">
      <c r="A4" t="s">
        <v>9</v>
      </c>
      <c r="B4" t="s">
        <v>79</v>
      </c>
      <c r="C4">
        <v>20.079999999999998</v>
      </c>
      <c r="D4">
        <v>4801</v>
      </c>
      <c r="E4">
        <v>22</v>
      </c>
      <c r="F4">
        <v>66</v>
      </c>
    </row>
    <row r="5" spans="1:6" x14ac:dyDescent="0.25">
      <c r="A5" t="s">
        <v>10</v>
      </c>
      <c r="B5" t="s">
        <v>79</v>
      </c>
      <c r="C5">
        <v>19</v>
      </c>
      <c r="D5">
        <v>4353</v>
      </c>
      <c r="E5">
        <v>22</v>
      </c>
      <c r="F5">
        <v>69</v>
      </c>
    </row>
    <row r="6" spans="1:6" x14ac:dyDescent="0.25">
      <c r="A6" t="s">
        <v>11</v>
      </c>
      <c r="B6" t="s">
        <v>79</v>
      </c>
      <c r="C6">
        <v>19.59</v>
      </c>
      <c r="D6">
        <v>4869</v>
      </c>
      <c r="E6">
        <v>22</v>
      </c>
      <c r="F6">
        <v>69</v>
      </c>
    </row>
    <row r="7" spans="1:6" x14ac:dyDescent="0.25">
      <c r="A7" t="s">
        <v>12</v>
      </c>
      <c r="B7" t="s">
        <v>79</v>
      </c>
      <c r="C7">
        <v>19.579999999999998</v>
      </c>
      <c r="D7">
        <v>4684</v>
      </c>
      <c r="E7">
        <v>22</v>
      </c>
      <c r="F7">
        <v>68</v>
      </c>
    </row>
    <row r="8" spans="1:6" x14ac:dyDescent="0.25">
      <c r="A8" t="s">
        <v>13</v>
      </c>
      <c r="B8" t="s">
        <v>79</v>
      </c>
      <c r="C8">
        <v>19.63</v>
      </c>
      <c r="D8">
        <v>5051</v>
      </c>
      <c r="E8">
        <v>22</v>
      </c>
      <c r="F8">
        <v>69</v>
      </c>
    </row>
    <row r="9" spans="1:6" x14ac:dyDescent="0.25">
      <c r="A9" t="s">
        <v>14</v>
      </c>
      <c r="B9" t="s">
        <v>79</v>
      </c>
      <c r="C9">
        <v>20.059999999999999</v>
      </c>
      <c r="D9">
        <v>4715</v>
      </c>
      <c r="E9">
        <v>22</v>
      </c>
      <c r="F9">
        <v>69</v>
      </c>
    </row>
    <row r="10" spans="1:6" s="2" customFormat="1" ht="14.25" x14ac:dyDescent="0.2"/>
    <row r="11" spans="1:6" s="2" customFormat="1" ht="14.25" x14ac:dyDescent="0.2">
      <c r="B11" s="2" t="s">
        <v>116</v>
      </c>
      <c r="C11" s="2">
        <f>AVERAGE(C4:C9)</f>
        <v>19.656666666666666</v>
      </c>
      <c r="D11" s="2">
        <f t="shared" ref="D11:F11" si="0">AVERAGE(D4:D9)</f>
        <v>4745.5</v>
      </c>
      <c r="E11" s="2">
        <f t="shared" si="0"/>
        <v>22</v>
      </c>
      <c r="F11" s="2">
        <f t="shared" si="0"/>
        <v>68.333333333333329</v>
      </c>
    </row>
    <row r="12" spans="1:6" s="2" customFormat="1" ht="14.25" x14ac:dyDescent="0.2"/>
    <row r="13" spans="1:6" x14ac:dyDescent="0.25">
      <c r="A13" t="s">
        <v>15</v>
      </c>
      <c r="B13" t="s">
        <v>79</v>
      </c>
      <c r="C13">
        <v>21.09</v>
      </c>
      <c r="D13">
        <v>4480</v>
      </c>
      <c r="E13">
        <v>22</v>
      </c>
      <c r="F13">
        <v>67</v>
      </c>
    </row>
    <row r="14" spans="1:6" x14ac:dyDescent="0.25">
      <c r="A14" t="s">
        <v>16</v>
      </c>
      <c r="B14" t="s">
        <v>79</v>
      </c>
      <c r="C14">
        <v>20.77</v>
      </c>
      <c r="D14">
        <v>4092</v>
      </c>
      <c r="E14">
        <v>22</v>
      </c>
      <c r="F14">
        <v>67</v>
      </c>
    </row>
    <row r="15" spans="1:6" x14ac:dyDescent="0.25">
      <c r="A15" t="s">
        <v>17</v>
      </c>
      <c r="B15" t="s">
        <v>79</v>
      </c>
      <c r="C15">
        <v>20.59</v>
      </c>
      <c r="D15">
        <v>4279</v>
      </c>
      <c r="E15">
        <v>22</v>
      </c>
      <c r="F15">
        <v>68</v>
      </c>
    </row>
    <row r="16" spans="1:6" x14ac:dyDescent="0.25">
      <c r="A16" t="s">
        <v>18</v>
      </c>
      <c r="B16" t="s">
        <v>79</v>
      </c>
      <c r="C16">
        <v>21.31</v>
      </c>
      <c r="D16">
        <v>4261</v>
      </c>
      <c r="E16">
        <v>22</v>
      </c>
      <c r="F16">
        <v>68</v>
      </c>
    </row>
    <row r="17" spans="1:6" x14ac:dyDescent="0.25">
      <c r="A17" t="s">
        <v>19</v>
      </c>
      <c r="B17" t="s">
        <v>79</v>
      </c>
      <c r="C17">
        <v>20.69</v>
      </c>
      <c r="D17">
        <v>4386</v>
      </c>
      <c r="E17">
        <v>22</v>
      </c>
      <c r="F17">
        <v>68</v>
      </c>
    </row>
    <row r="18" spans="1:6" x14ac:dyDescent="0.25">
      <c r="A18" t="s">
        <v>20</v>
      </c>
      <c r="B18" t="s">
        <v>79</v>
      </c>
      <c r="C18">
        <v>21.53</v>
      </c>
      <c r="D18">
        <v>4522</v>
      </c>
      <c r="E18">
        <v>22</v>
      </c>
      <c r="F18">
        <v>68</v>
      </c>
    </row>
    <row r="19" spans="1:6" s="2" customFormat="1" ht="14.25" x14ac:dyDescent="0.2"/>
    <row r="20" spans="1:6" s="2" customFormat="1" ht="14.25" x14ac:dyDescent="0.2">
      <c r="B20" s="2" t="s">
        <v>116</v>
      </c>
      <c r="C20" s="2">
        <f>AVERAGE(C13:C18)</f>
        <v>20.996666666666666</v>
      </c>
      <c r="D20" s="2">
        <f t="shared" ref="D20:F20" si="1">AVERAGE(D13:D18)</f>
        <v>4336.666666666667</v>
      </c>
      <c r="E20" s="2">
        <f t="shared" si="1"/>
        <v>22</v>
      </c>
      <c r="F20" s="2">
        <f t="shared" si="1"/>
        <v>67.666666666666671</v>
      </c>
    </row>
    <row r="21" spans="1:6" s="2" customFormat="1" ht="14.25" x14ac:dyDescent="0.2"/>
    <row r="22" spans="1:6" x14ac:dyDescent="0.25">
      <c r="A22" t="s">
        <v>21</v>
      </c>
      <c r="B22" t="s">
        <v>79</v>
      </c>
      <c r="C22">
        <v>21.54</v>
      </c>
      <c r="D22">
        <v>5295</v>
      </c>
      <c r="E22">
        <v>22</v>
      </c>
      <c r="F22">
        <v>67</v>
      </c>
    </row>
    <row r="23" spans="1:6" x14ac:dyDescent="0.25">
      <c r="A23" t="s">
        <v>22</v>
      </c>
      <c r="B23" t="s">
        <v>79</v>
      </c>
      <c r="C23">
        <v>22.12</v>
      </c>
      <c r="D23">
        <v>4703</v>
      </c>
      <c r="E23">
        <v>22</v>
      </c>
      <c r="F23">
        <v>68</v>
      </c>
    </row>
    <row r="24" spans="1:6" x14ac:dyDescent="0.25">
      <c r="A24" t="s">
        <v>23</v>
      </c>
      <c r="B24" t="s">
        <v>79</v>
      </c>
      <c r="C24">
        <v>20.95</v>
      </c>
      <c r="D24">
        <v>4591</v>
      </c>
      <c r="E24">
        <v>22</v>
      </c>
      <c r="F24">
        <v>68</v>
      </c>
    </row>
    <row r="25" spans="1:6" x14ac:dyDescent="0.25">
      <c r="A25" t="s">
        <v>24</v>
      </c>
      <c r="B25" t="s">
        <v>79</v>
      </c>
      <c r="C25">
        <v>22.1</v>
      </c>
      <c r="D25">
        <v>4896</v>
      </c>
      <c r="E25">
        <v>22</v>
      </c>
      <c r="F25">
        <v>67</v>
      </c>
    </row>
    <row r="26" spans="1:6" x14ac:dyDescent="0.25">
      <c r="A26" t="s">
        <v>25</v>
      </c>
      <c r="B26" t="s">
        <v>79</v>
      </c>
      <c r="C26">
        <v>21.87</v>
      </c>
      <c r="D26">
        <v>4489</v>
      </c>
      <c r="E26">
        <v>22</v>
      </c>
      <c r="F26">
        <v>68</v>
      </c>
    </row>
    <row r="27" spans="1:6" x14ac:dyDescent="0.25">
      <c r="A27" t="s">
        <v>26</v>
      </c>
      <c r="B27" t="s">
        <v>79</v>
      </c>
      <c r="C27">
        <v>21.95</v>
      </c>
      <c r="D27">
        <v>4905</v>
      </c>
      <c r="E27">
        <v>22</v>
      </c>
      <c r="F27">
        <v>68</v>
      </c>
    </row>
    <row r="28" spans="1:6" s="2" customFormat="1" ht="14.25" x14ac:dyDescent="0.2"/>
    <row r="29" spans="1:6" s="2" customFormat="1" ht="14.25" x14ac:dyDescent="0.2">
      <c r="B29" s="2" t="s">
        <v>116</v>
      </c>
      <c r="C29" s="2">
        <f>AVERAGE(C22:C27)</f>
        <v>21.754999999999999</v>
      </c>
      <c r="D29" s="2">
        <f t="shared" ref="D29:F29" si="2">AVERAGE(D22:D27)</f>
        <v>4813.166666666667</v>
      </c>
      <c r="E29" s="2">
        <f t="shared" si="2"/>
        <v>22</v>
      </c>
      <c r="F29" s="2">
        <f t="shared" si="2"/>
        <v>67.666666666666671</v>
      </c>
    </row>
    <row r="30" spans="1:6" s="2" customFormat="1" ht="14.25" x14ac:dyDescent="0.2"/>
    <row r="31" spans="1:6" x14ac:dyDescent="0.25">
      <c r="A31" t="s">
        <v>27</v>
      </c>
      <c r="B31" t="s">
        <v>79</v>
      </c>
      <c r="C31">
        <v>22.16</v>
      </c>
      <c r="D31">
        <v>4357</v>
      </c>
      <c r="E31">
        <v>22</v>
      </c>
      <c r="F31">
        <v>68</v>
      </c>
    </row>
    <row r="32" spans="1:6" x14ac:dyDescent="0.25">
      <c r="A32" t="s">
        <v>28</v>
      </c>
      <c r="B32" t="s">
        <v>79</v>
      </c>
      <c r="C32">
        <v>22.24</v>
      </c>
      <c r="D32">
        <v>4475</v>
      </c>
      <c r="E32">
        <v>22</v>
      </c>
      <c r="F32">
        <v>67</v>
      </c>
    </row>
    <row r="33" spans="1:6" x14ac:dyDescent="0.25">
      <c r="A33" t="s">
        <v>29</v>
      </c>
      <c r="B33" t="s">
        <v>79</v>
      </c>
      <c r="C33">
        <v>22.67</v>
      </c>
      <c r="D33">
        <v>4179</v>
      </c>
      <c r="E33">
        <v>22</v>
      </c>
      <c r="F33">
        <v>68</v>
      </c>
    </row>
    <row r="34" spans="1:6" x14ac:dyDescent="0.25">
      <c r="A34" t="s">
        <v>30</v>
      </c>
      <c r="B34" t="s">
        <v>79</v>
      </c>
      <c r="C34">
        <v>22.74</v>
      </c>
      <c r="D34">
        <v>4468</v>
      </c>
      <c r="E34">
        <v>22</v>
      </c>
      <c r="F34">
        <v>67</v>
      </c>
    </row>
    <row r="35" spans="1:6" x14ac:dyDescent="0.25">
      <c r="A35" t="s">
        <v>31</v>
      </c>
      <c r="B35" t="s">
        <v>79</v>
      </c>
      <c r="C35">
        <v>22.99</v>
      </c>
      <c r="D35">
        <v>4404</v>
      </c>
      <c r="E35">
        <v>22</v>
      </c>
      <c r="F35">
        <v>67</v>
      </c>
    </row>
    <row r="36" spans="1:6" x14ac:dyDescent="0.25">
      <c r="A36" t="s">
        <v>32</v>
      </c>
      <c r="B36" t="s">
        <v>79</v>
      </c>
      <c r="C36">
        <v>22.66</v>
      </c>
      <c r="D36">
        <v>4821</v>
      </c>
      <c r="E36">
        <v>22</v>
      </c>
      <c r="F36">
        <v>68</v>
      </c>
    </row>
    <row r="37" spans="1:6" s="2" customFormat="1" ht="14.25" x14ac:dyDescent="0.2"/>
    <row r="38" spans="1:6" s="2" customFormat="1" ht="14.25" x14ac:dyDescent="0.2">
      <c r="B38" s="2" t="s">
        <v>116</v>
      </c>
      <c r="C38" s="2">
        <f>AVERAGE(C31:C36)</f>
        <v>22.576666666666664</v>
      </c>
      <c r="D38" s="2">
        <f t="shared" ref="D38:F38" si="3">AVERAGE(D31:D36)</f>
        <v>4450.666666666667</v>
      </c>
      <c r="E38" s="2">
        <f t="shared" si="3"/>
        <v>22</v>
      </c>
      <c r="F38" s="2">
        <f t="shared" si="3"/>
        <v>67.5</v>
      </c>
    </row>
    <row r="39" spans="1:6" s="2" customFormat="1" ht="14.25" x14ac:dyDescent="0.2"/>
    <row r="40" spans="1:6" x14ac:dyDescent="0.25">
      <c r="A40" t="s">
        <v>33</v>
      </c>
      <c r="B40" t="s">
        <v>79</v>
      </c>
      <c r="C40">
        <v>19.489999999999998</v>
      </c>
      <c r="D40">
        <v>6184</v>
      </c>
      <c r="E40">
        <v>22</v>
      </c>
      <c r="F40">
        <v>66</v>
      </c>
    </row>
    <row r="41" spans="1:6" x14ac:dyDescent="0.25">
      <c r="A41" t="s">
        <v>34</v>
      </c>
      <c r="B41" t="s">
        <v>79</v>
      </c>
      <c r="C41">
        <v>18.77</v>
      </c>
      <c r="D41">
        <v>6203</v>
      </c>
      <c r="E41">
        <v>22</v>
      </c>
      <c r="F41">
        <v>68</v>
      </c>
    </row>
    <row r="42" spans="1:6" x14ac:dyDescent="0.25">
      <c r="A42" t="s">
        <v>35</v>
      </c>
      <c r="B42" t="s">
        <v>79</v>
      </c>
      <c r="C42">
        <v>19.11</v>
      </c>
      <c r="D42">
        <v>6504</v>
      </c>
      <c r="E42">
        <v>22</v>
      </c>
      <c r="F42">
        <v>68</v>
      </c>
    </row>
    <row r="43" spans="1:6" x14ac:dyDescent="0.25">
      <c r="A43" t="s">
        <v>36</v>
      </c>
      <c r="B43" t="s">
        <v>79</v>
      </c>
      <c r="C43">
        <v>19.72</v>
      </c>
      <c r="D43">
        <v>6237</v>
      </c>
      <c r="E43">
        <v>22</v>
      </c>
      <c r="F43">
        <v>67</v>
      </c>
    </row>
    <row r="44" spans="1:6" x14ac:dyDescent="0.25">
      <c r="A44" t="s">
        <v>37</v>
      </c>
      <c r="B44" t="s">
        <v>79</v>
      </c>
      <c r="C44">
        <v>19.39</v>
      </c>
      <c r="D44">
        <v>5965</v>
      </c>
      <c r="E44">
        <v>22</v>
      </c>
      <c r="F44">
        <v>68</v>
      </c>
    </row>
    <row r="45" spans="1:6" x14ac:dyDescent="0.25">
      <c r="A45" t="s">
        <v>38</v>
      </c>
      <c r="B45" t="s">
        <v>79</v>
      </c>
      <c r="C45">
        <v>18.670000000000002</v>
      </c>
      <c r="D45">
        <v>6905</v>
      </c>
      <c r="E45">
        <v>22</v>
      </c>
      <c r="F45">
        <v>66</v>
      </c>
    </row>
    <row r="46" spans="1:6" s="2" customFormat="1" ht="14.25" x14ac:dyDescent="0.2"/>
    <row r="47" spans="1:6" s="2" customFormat="1" ht="14.25" x14ac:dyDescent="0.2">
      <c r="B47" s="2" t="s">
        <v>116</v>
      </c>
      <c r="C47" s="2">
        <f>AVERAGE(C40:C45)</f>
        <v>19.191666666666666</v>
      </c>
      <c r="D47" s="2">
        <f t="shared" ref="D47:F47" si="4">AVERAGE(D40:D45)</f>
        <v>6333</v>
      </c>
      <c r="E47" s="2">
        <f t="shared" si="4"/>
        <v>22</v>
      </c>
      <c r="F47" s="2">
        <f t="shared" si="4"/>
        <v>67.166666666666671</v>
      </c>
    </row>
    <row r="48" spans="1:6" s="2" customFormat="1" ht="14.25" x14ac:dyDescent="0.2"/>
    <row r="49" spans="1:6" x14ac:dyDescent="0.25">
      <c r="A49" t="s">
        <v>39</v>
      </c>
      <c r="B49" t="s">
        <v>79</v>
      </c>
      <c r="C49">
        <v>18.41</v>
      </c>
      <c r="D49">
        <v>6034</v>
      </c>
      <c r="E49">
        <v>22</v>
      </c>
      <c r="F49">
        <v>66</v>
      </c>
    </row>
    <row r="50" spans="1:6" x14ac:dyDescent="0.25">
      <c r="A50" t="s">
        <v>40</v>
      </c>
      <c r="B50" t="s">
        <v>79</v>
      </c>
      <c r="C50">
        <v>17.46</v>
      </c>
      <c r="D50">
        <v>6882</v>
      </c>
      <c r="E50">
        <v>22</v>
      </c>
      <c r="F50">
        <v>66</v>
      </c>
    </row>
    <row r="51" spans="1:6" x14ac:dyDescent="0.25">
      <c r="A51" t="s">
        <v>41</v>
      </c>
      <c r="B51" t="s">
        <v>79</v>
      </c>
      <c r="C51">
        <v>18.25</v>
      </c>
      <c r="D51">
        <v>7119</v>
      </c>
      <c r="E51">
        <v>22</v>
      </c>
      <c r="F51">
        <v>66</v>
      </c>
    </row>
    <row r="52" spans="1:6" x14ac:dyDescent="0.25">
      <c r="A52" t="s">
        <v>42</v>
      </c>
      <c r="B52" t="s">
        <v>79</v>
      </c>
      <c r="C52">
        <v>17.84</v>
      </c>
      <c r="D52">
        <v>6997</v>
      </c>
      <c r="E52">
        <v>23</v>
      </c>
      <c r="F52">
        <v>67</v>
      </c>
    </row>
    <row r="53" spans="1:6" x14ac:dyDescent="0.25">
      <c r="A53" t="s">
        <v>43</v>
      </c>
      <c r="B53" t="s">
        <v>79</v>
      </c>
      <c r="C53">
        <v>18.16</v>
      </c>
      <c r="D53">
        <v>6515</v>
      </c>
      <c r="E53">
        <v>22</v>
      </c>
      <c r="F53">
        <v>66</v>
      </c>
    </row>
    <row r="54" spans="1:6" x14ac:dyDescent="0.25">
      <c r="A54" t="s">
        <v>44</v>
      </c>
      <c r="B54" t="s">
        <v>79</v>
      </c>
      <c r="C54">
        <v>18.170000000000002</v>
      </c>
      <c r="D54">
        <v>6489</v>
      </c>
      <c r="E54">
        <v>22</v>
      </c>
      <c r="F54">
        <v>66</v>
      </c>
    </row>
    <row r="55" spans="1:6" s="2" customFormat="1" ht="14.25" x14ac:dyDescent="0.2"/>
    <row r="56" spans="1:6" s="2" customFormat="1" ht="14.25" x14ac:dyDescent="0.2">
      <c r="B56" s="2" t="s">
        <v>116</v>
      </c>
      <c r="C56" s="2">
        <f>AVERAGE(C49:C54)</f>
        <v>18.048333333333336</v>
      </c>
      <c r="D56" s="2">
        <f t="shared" ref="D56:F56" si="5">AVERAGE(D49:D54)</f>
        <v>6672.666666666667</v>
      </c>
      <c r="E56" s="2">
        <f t="shared" si="5"/>
        <v>22.166666666666668</v>
      </c>
      <c r="F56" s="2">
        <f t="shared" si="5"/>
        <v>66.166666666666671</v>
      </c>
    </row>
    <row r="57" spans="1:6" s="2" customFormat="1" ht="14.25" x14ac:dyDescent="0.2"/>
    <row r="58" spans="1:6" x14ac:dyDescent="0.25">
      <c r="A58" t="s">
        <v>45</v>
      </c>
      <c r="B58" t="s">
        <v>79</v>
      </c>
      <c r="C58">
        <v>18.149999999999999</v>
      </c>
      <c r="D58">
        <v>7178</v>
      </c>
      <c r="E58">
        <v>22</v>
      </c>
      <c r="F58">
        <v>66</v>
      </c>
    </row>
    <row r="59" spans="1:6" x14ac:dyDescent="0.25">
      <c r="A59" t="s">
        <v>46</v>
      </c>
      <c r="B59" t="s">
        <v>79</v>
      </c>
      <c r="C59">
        <v>18.329999999999998</v>
      </c>
      <c r="D59">
        <v>6935</v>
      </c>
      <c r="E59">
        <v>22</v>
      </c>
      <c r="F59">
        <v>66</v>
      </c>
    </row>
    <row r="60" spans="1:6" x14ac:dyDescent="0.25">
      <c r="A60" t="s">
        <v>47</v>
      </c>
      <c r="B60" t="s">
        <v>79</v>
      </c>
      <c r="C60">
        <v>19.13</v>
      </c>
      <c r="D60">
        <v>6716</v>
      </c>
      <c r="E60">
        <v>22</v>
      </c>
      <c r="F60">
        <v>67</v>
      </c>
    </row>
    <row r="61" spans="1:6" x14ac:dyDescent="0.25">
      <c r="A61" t="s">
        <v>48</v>
      </c>
      <c r="B61" t="s">
        <v>79</v>
      </c>
      <c r="C61">
        <v>18.34</v>
      </c>
      <c r="D61">
        <v>6680</v>
      </c>
      <c r="E61">
        <v>22</v>
      </c>
      <c r="F61">
        <v>67</v>
      </c>
    </row>
    <row r="62" spans="1:6" x14ac:dyDescent="0.25">
      <c r="A62" t="s">
        <v>49</v>
      </c>
      <c r="B62" t="s">
        <v>79</v>
      </c>
      <c r="C62">
        <v>18.84</v>
      </c>
      <c r="D62">
        <v>6852</v>
      </c>
      <c r="E62">
        <v>22</v>
      </c>
      <c r="F62">
        <v>68</v>
      </c>
    </row>
    <row r="63" spans="1:6" x14ac:dyDescent="0.25">
      <c r="A63" t="s">
        <v>50</v>
      </c>
      <c r="B63" t="s">
        <v>79</v>
      </c>
      <c r="C63">
        <v>18.670000000000002</v>
      </c>
      <c r="D63">
        <v>7226</v>
      </c>
      <c r="E63">
        <v>22</v>
      </c>
      <c r="F63">
        <v>67</v>
      </c>
    </row>
    <row r="64" spans="1:6" s="2" customFormat="1" ht="14.25" x14ac:dyDescent="0.2"/>
    <row r="65" spans="1:6" s="2" customFormat="1" ht="14.25" x14ac:dyDescent="0.2">
      <c r="B65" s="2" t="s">
        <v>116</v>
      </c>
      <c r="C65" s="2">
        <f>AVERAGE(C58:C63)</f>
        <v>18.576666666666668</v>
      </c>
      <c r="D65" s="2">
        <f t="shared" ref="D65:F65" si="6">AVERAGE(D58:D63)</f>
        <v>6931.166666666667</v>
      </c>
      <c r="E65" s="2">
        <f t="shared" si="6"/>
        <v>22</v>
      </c>
      <c r="F65" s="2">
        <f t="shared" si="6"/>
        <v>66.833333333333329</v>
      </c>
    </row>
    <row r="66" spans="1:6" s="2" customFormat="1" ht="14.25" x14ac:dyDescent="0.2"/>
    <row r="67" spans="1:6" x14ac:dyDescent="0.25">
      <c r="A67" t="s">
        <v>51</v>
      </c>
      <c r="B67" t="s">
        <v>79</v>
      </c>
      <c r="C67">
        <v>18.579999999999998</v>
      </c>
      <c r="D67">
        <v>6929</v>
      </c>
      <c r="E67">
        <v>22</v>
      </c>
      <c r="F67">
        <v>67</v>
      </c>
    </row>
    <row r="68" spans="1:6" x14ac:dyDescent="0.25">
      <c r="A68" t="s">
        <v>52</v>
      </c>
      <c r="B68" t="s">
        <v>79</v>
      </c>
      <c r="C68">
        <v>19.059999999999999</v>
      </c>
      <c r="D68">
        <v>6755</v>
      </c>
      <c r="E68">
        <v>22</v>
      </c>
      <c r="F68">
        <v>67</v>
      </c>
    </row>
    <row r="69" spans="1:6" x14ac:dyDescent="0.25">
      <c r="A69" t="s">
        <v>53</v>
      </c>
      <c r="B69" t="s">
        <v>79</v>
      </c>
      <c r="C69">
        <v>19.22</v>
      </c>
      <c r="D69">
        <v>6285</v>
      </c>
      <c r="E69">
        <v>22</v>
      </c>
      <c r="F69">
        <v>66</v>
      </c>
    </row>
    <row r="70" spans="1:6" x14ac:dyDescent="0.25">
      <c r="A70" t="s">
        <v>54</v>
      </c>
      <c r="B70" t="s">
        <v>79</v>
      </c>
      <c r="C70">
        <v>18.8</v>
      </c>
      <c r="D70">
        <v>6799</v>
      </c>
      <c r="E70">
        <v>22</v>
      </c>
      <c r="F70">
        <v>67</v>
      </c>
    </row>
    <row r="71" spans="1:6" x14ac:dyDescent="0.25">
      <c r="A71" t="s">
        <v>55</v>
      </c>
      <c r="B71" t="s">
        <v>79</v>
      </c>
      <c r="C71">
        <v>18.7</v>
      </c>
      <c r="D71">
        <v>6461</v>
      </c>
      <c r="E71">
        <v>22</v>
      </c>
      <c r="F71">
        <v>68</v>
      </c>
    </row>
    <row r="72" spans="1:6" x14ac:dyDescent="0.25">
      <c r="A72" t="s">
        <v>56</v>
      </c>
      <c r="B72" t="s">
        <v>79</v>
      </c>
      <c r="C72">
        <v>18.8</v>
      </c>
      <c r="D72">
        <v>6682</v>
      </c>
      <c r="E72">
        <v>22</v>
      </c>
      <c r="F72">
        <v>66</v>
      </c>
    </row>
    <row r="73" spans="1:6" s="2" customFormat="1" ht="14.25" x14ac:dyDescent="0.2"/>
    <row r="74" spans="1:6" s="2" customFormat="1" ht="14.25" x14ac:dyDescent="0.2">
      <c r="B74" s="2" t="s">
        <v>116</v>
      </c>
      <c r="C74" s="2">
        <f>AVERAGE(C67:C72)</f>
        <v>18.86</v>
      </c>
      <c r="D74" s="2">
        <f t="shared" ref="D74:F74" si="7">AVERAGE(D67:D72)</f>
        <v>6651.833333333333</v>
      </c>
      <c r="E74" s="2">
        <f t="shared" si="7"/>
        <v>22</v>
      </c>
      <c r="F74" s="2">
        <f t="shared" si="7"/>
        <v>66.833333333333329</v>
      </c>
    </row>
    <row r="75" spans="1:6" s="2" customFormat="1" ht="14.25" x14ac:dyDescent="0.2"/>
    <row r="76" spans="1:6" x14ac:dyDescent="0.25">
      <c r="A76" t="s">
        <v>57</v>
      </c>
      <c r="B76" t="s">
        <v>79</v>
      </c>
      <c r="C76">
        <v>19.59</v>
      </c>
      <c r="D76">
        <v>5791</v>
      </c>
      <c r="E76">
        <v>22</v>
      </c>
      <c r="F76">
        <v>66</v>
      </c>
    </row>
    <row r="77" spans="1:6" x14ac:dyDescent="0.25">
      <c r="A77" t="s">
        <v>58</v>
      </c>
      <c r="B77" t="s">
        <v>79</v>
      </c>
      <c r="C77">
        <v>20.77</v>
      </c>
      <c r="D77">
        <v>5506</v>
      </c>
      <c r="E77">
        <v>22</v>
      </c>
      <c r="F77">
        <v>66</v>
      </c>
    </row>
    <row r="78" spans="1:6" x14ac:dyDescent="0.25">
      <c r="A78" t="s">
        <v>59</v>
      </c>
      <c r="B78" t="s">
        <v>79</v>
      </c>
      <c r="C78">
        <v>21.16</v>
      </c>
      <c r="D78">
        <v>5384</v>
      </c>
      <c r="E78">
        <v>22</v>
      </c>
      <c r="F78">
        <v>66</v>
      </c>
    </row>
    <row r="79" spans="1:6" x14ac:dyDescent="0.25">
      <c r="A79" t="s">
        <v>60</v>
      </c>
      <c r="B79" t="s">
        <v>79</v>
      </c>
      <c r="C79">
        <v>20.21</v>
      </c>
      <c r="D79">
        <v>5437</v>
      </c>
      <c r="E79">
        <v>22</v>
      </c>
      <c r="F79">
        <v>66</v>
      </c>
    </row>
    <row r="80" spans="1:6" x14ac:dyDescent="0.25">
      <c r="A80" t="s">
        <v>61</v>
      </c>
      <c r="B80" t="s">
        <v>79</v>
      </c>
      <c r="C80">
        <v>20.07</v>
      </c>
      <c r="D80">
        <v>5241</v>
      </c>
      <c r="E80">
        <v>22</v>
      </c>
      <c r="F80">
        <v>66</v>
      </c>
    </row>
    <row r="81" spans="1:6" x14ac:dyDescent="0.25">
      <c r="A81" t="s">
        <v>62</v>
      </c>
      <c r="B81" t="s">
        <v>79</v>
      </c>
      <c r="C81">
        <v>20.61</v>
      </c>
      <c r="D81">
        <v>4974</v>
      </c>
      <c r="E81">
        <v>22</v>
      </c>
      <c r="F81">
        <v>66</v>
      </c>
    </row>
    <row r="82" spans="1:6" s="2" customFormat="1" ht="14.25" x14ac:dyDescent="0.2"/>
    <row r="83" spans="1:6" s="2" customFormat="1" ht="14.25" x14ac:dyDescent="0.2">
      <c r="B83" s="2" t="s">
        <v>116</v>
      </c>
      <c r="C83" s="2">
        <f>AVERAGE(C76:C81)</f>
        <v>20.401666666666664</v>
      </c>
      <c r="D83" s="2">
        <f t="shared" ref="D83:F83" si="8">AVERAGE(D76:D81)</f>
        <v>5388.833333333333</v>
      </c>
      <c r="E83" s="2">
        <f t="shared" si="8"/>
        <v>22</v>
      </c>
      <c r="F83" s="2">
        <f t="shared" si="8"/>
        <v>66</v>
      </c>
    </row>
    <row r="84" spans="1:6" s="2" customFormat="1" ht="14.25" x14ac:dyDescent="0.2"/>
    <row r="85" spans="1:6" x14ac:dyDescent="0.25">
      <c r="A85" t="s">
        <v>63</v>
      </c>
      <c r="B85" t="s">
        <v>79</v>
      </c>
      <c r="C85">
        <v>20.23</v>
      </c>
      <c r="D85">
        <v>5651</v>
      </c>
      <c r="E85">
        <v>22</v>
      </c>
      <c r="F85">
        <v>67</v>
      </c>
    </row>
    <row r="86" spans="1:6" x14ac:dyDescent="0.25">
      <c r="A86" t="s">
        <v>64</v>
      </c>
      <c r="B86" t="s">
        <v>79</v>
      </c>
      <c r="C86">
        <v>20.54</v>
      </c>
      <c r="D86">
        <v>4760</v>
      </c>
      <c r="E86">
        <v>22</v>
      </c>
      <c r="F86">
        <v>66</v>
      </c>
    </row>
    <row r="87" spans="1:6" x14ac:dyDescent="0.25">
      <c r="A87" t="s">
        <v>65</v>
      </c>
      <c r="B87" t="s">
        <v>79</v>
      </c>
      <c r="C87">
        <v>20.67</v>
      </c>
      <c r="D87">
        <v>5653</v>
      </c>
      <c r="E87">
        <v>22</v>
      </c>
      <c r="F87">
        <v>67</v>
      </c>
    </row>
    <row r="88" spans="1:6" x14ac:dyDescent="0.25">
      <c r="A88" t="s">
        <v>66</v>
      </c>
      <c r="B88" t="s">
        <v>79</v>
      </c>
      <c r="C88">
        <v>20.58</v>
      </c>
      <c r="D88">
        <v>5278</v>
      </c>
      <c r="E88">
        <v>22</v>
      </c>
      <c r="F88">
        <v>66</v>
      </c>
    </row>
    <row r="89" spans="1:6" x14ac:dyDescent="0.25">
      <c r="A89" t="s">
        <v>67</v>
      </c>
      <c r="B89" t="s">
        <v>79</v>
      </c>
      <c r="C89">
        <v>20.6</v>
      </c>
      <c r="D89">
        <v>5455</v>
      </c>
      <c r="E89">
        <v>22</v>
      </c>
      <c r="F89">
        <v>66</v>
      </c>
    </row>
    <row r="90" spans="1:6" x14ac:dyDescent="0.25">
      <c r="A90" t="s">
        <v>68</v>
      </c>
      <c r="B90" t="s">
        <v>79</v>
      </c>
      <c r="C90">
        <v>19.649999999999999</v>
      </c>
      <c r="D90">
        <v>5558</v>
      </c>
      <c r="E90">
        <v>22</v>
      </c>
      <c r="F90">
        <v>66</v>
      </c>
    </row>
    <row r="91" spans="1:6" s="2" customFormat="1" ht="14.25" x14ac:dyDescent="0.2"/>
    <row r="92" spans="1:6" s="2" customFormat="1" ht="14.25" x14ac:dyDescent="0.2">
      <c r="B92" s="2" t="s">
        <v>116</v>
      </c>
      <c r="C92" s="2">
        <f>AVERAGE(C85:C90)</f>
        <v>20.378333333333334</v>
      </c>
      <c r="D92" s="2">
        <f t="shared" ref="D92:F92" si="9">AVERAGE(D85:D90)</f>
        <v>5392.5</v>
      </c>
      <c r="E92" s="2">
        <f t="shared" si="9"/>
        <v>22</v>
      </c>
      <c r="F92" s="2">
        <f t="shared" si="9"/>
        <v>66.333333333333329</v>
      </c>
    </row>
    <row r="93" spans="1:6" s="2" customFormat="1" ht="14.25" x14ac:dyDescent="0.2"/>
    <row r="94" spans="1:6" x14ac:dyDescent="0.25">
      <c r="A94" t="s">
        <v>69</v>
      </c>
      <c r="B94" t="s">
        <v>79</v>
      </c>
      <c r="C94">
        <v>20.62</v>
      </c>
      <c r="D94">
        <v>5607</v>
      </c>
      <c r="E94">
        <v>22</v>
      </c>
      <c r="F94">
        <v>66</v>
      </c>
    </row>
    <row r="95" spans="1:6" x14ac:dyDescent="0.25">
      <c r="A95" t="s">
        <v>70</v>
      </c>
      <c r="B95" t="s">
        <v>79</v>
      </c>
      <c r="C95">
        <v>20.7</v>
      </c>
      <c r="D95">
        <v>5195</v>
      </c>
      <c r="E95">
        <v>22</v>
      </c>
      <c r="F95">
        <v>66</v>
      </c>
    </row>
    <row r="96" spans="1:6" x14ac:dyDescent="0.25">
      <c r="A96" t="s">
        <v>71</v>
      </c>
      <c r="B96" t="s">
        <v>79</v>
      </c>
      <c r="C96">
        <v>20.2</v>
      </c>
      <c r="D96">
        <v>6028</v>
      </c>
      <c r="E96">
        <v>22</v>
      </c>
      <c r="F96">
        <v>67</v>
      </c>
    </row>
    <row r="97" spans="1:6" x14ac:dyDescent="0.25">
      <c r="A97" t="s">
        <v>72</v>
      </c>
      <c r="B97" t="s">
        <v>79</v>
      </c>
      <c r="C97">
        <v>20.23</v>
      </c>
      <c r="D97">
        <v>5721</v>
      </c>
      <c r="E97">
        <v>22</v>
      </c>
      <c r="F97">
        <v>67</v>
      </c>
    </row>
    <row r="98" spans="1:6" x14ac:dyDescent="0.25">
      <c r="A98" t="s">
        <v>73</v>
      </c>
      <c r="B98" t="s">
        <v>79</v>
      </c>
      <c r="C98">
        <v>19.73</v>
      </c>
      <c r="D98">
        <v>5771</v>
      </c>
      <c r="E98">
        <v>22</v>
      </c>
      <c r="F98">
        <v>67</v>
      </c>
    </row>
    <row r="99" spans="1:6" x14ac:dyDescent="0.25">
      <c r="A99" t="s">
        <v>74</v>
      </c>
      <c r="B99" t="s">
        <v>79</v>
      </c>
      <c r="C99">
        <v>20.34</v>
      </c>
      <c r="D99">
        <v>4980</v>
      </c>
      <c r="E99">
        <v>22</v>
      </c>
      <c r="F99">
        <v>68</v>
      </c>
    </row>
    <row r="100" spans="1:6" s="2" customFormat="1" ht="14.25" x14ac:dyDescent="0.2"/>
    <row r="101" spans="1:6" s="2" customFormat="1" ht="14.25" x14ac:dyDescent="0.2">
      <c r="B101" s="2" t="s">
        <v>116</v>
      </c>
      <c r="C101" s="2">
        <f>AVERAGE(C94:C99)</f>
        <v>20.303333333333335</v>
      </c>
      <c r="D101" s="2">
        <f t="shared" ref="D101:F101" si="10">AVERAGE(D94:D99)</f>
        <v>5550.333333333333</v>
      </c>
      <c r="E101" s="2">
        <f t="shared" si="10"/>
        <v>22</v>
      </c>
      <c r="F101" s="2">
        <f t="shared" si="10"/>
        <v>66.833333333333329</v>
      </c>
    </row>
    <row r="102" spans="1:6" s="2" customFormat="1" ht="14.25" x14ac:dyDescent="0.2"/>
    <row r="103" spans="1:6" s="2" customFormat="1" x14ac:dyDescent="0.25">
      <c r="B103"/>
    </row>
    <row r="104" spans="1:6" s="2" customFormat="1" x14ac:dyDescent="0.25">
      <c r="B104"/>
    </row>
    <row r="105" spans="1:6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</row>
    <row r="106" spans="1:6" x14ac:dyDescent="0.25">
      <c r="A106" s="1" t="s">
        <v>75</v>
      </c>
      <c r="B106" t="s">
        <v>7</v>
      </c>
      <c r="C106" t="s">
        <v>8</v>
      </c>
      <c r="D106" t="s">
        <v>7</v>
      </c>
    </row>
    <row r="107" spans="1:6" s="2" customFormat="1" x14ac:dyDescent="0.25">
      <c r="B107"/>
    </row>
    <row r="108" spans="1:6" x14ac:dyDescent="0.25">
      <c r="A108" t="s">
        <v>9</v>
      </c>
      <c r="B108" t="s">
        <v>79</v>
      </c>
      <c r="C108">
        <v>18.89</v>
      </c>
      <c r="D108">
        <v>4951</v>
      </c>
      <c r="E108">
        <v>22</v>
      </c>
      <c r="F108">
        <v>70</v>
      </c>
    </row>
    <row r="109" spans="1:6" x14ac:dyDescent="0.25">
      <c r="A109" t="s">
        <v>10</v>
      </c>
      <c r="B109" t="s">
        <v>79</v>
      </c>
      <c r="C109">
        <v>19.32</v>
      </c>
      <c r="D109">
        <v>5192</v>
      </c>
      <c r="E109">
        <v>22</v>
      </c>
      <c r="F109">
        <v>70</v>
      </c>
    </row>
    <row r="110" spans="1:6" x14ac:dyDescent="0.25">
      <c r="A110" t="s">
        <v>11</v>
      </c>
      <c r="B110" t="s">
        <v>79</v>
      </c>
      <c r="C110">
        <v>19.73</v>
      </c>
      <c r="D110">
        <v>4554</v>
      </c>
      <c r="E110">
        <v>22</v>
      </c>
      <c r="F110">
        <v>70</v>
      </c>
    </row>
    <row r="111" spans="1:6" x14ac:dyDescent="0.25">
      <c r="A111" t="s">
        <v>12</v>
      </c>
      <c r="B111" t="s">
        <v>79</v>
      </c>
      <c r="C111">
        <v>19.86</v>
      </c>
      <c r="D111">
        <v>4898</v>
      </c>
      <c r="E111">
        <v>21</v>
      </c>
      <c r="F111">
        <v>69</v>
      </c>
    </row>
    <row r="112" spans="1:6" x14ac:dyDescent="0.25">
      <c r="A112" t="s">
        <v>13</v>
      </c>
      <c r="B112" t="s">
        <v>79</v>
      </c>
      <c r="C112">
        <v>19.11</v>
      </c>
      <c r="D112">
        <v>5189</v>
      </c>
      <c r="E112">
        <v>22</v>
      </c>
      <c r="F112">
        <v>71</v>
      </c>
    </row>
    <row r="113" spans="1:6" x14ac:dyDescent="0.25">
      <c r="A113" t="s">
        <v>14</v>
      </c>
      <c r="B113" t="s">
        <v>79</v>
      </c>
      <c r="C113">
        <v>18.97</v>
      </c>
      <c r="D113">
        <v>5302</v>
      </c>
      <c r="E113">
        <v>22</v>
      </c>
      <c r="F113">
        <v>70</v>
      </c>
    </row>
    <row r="114" spans="1:6" s="2" customFormat="1" ht="14.25" x14ac:dyDescent="0.2"/>
    <row r="115" spans="1:6" s="2" customFormat="1" ht="14.25" x14ac:dyDescent="0.2">
      <c r="B115" s="2" t="s">
        <v>116</v>
      </c>
      <c r="C115" s="2">
        <f>AVERAGE(C108:C113)</f>
        <v>19.313333333333333</v>
      </c>
      <c r="D115" s="2">
        <f t="shared" ref="D115:F115" si="11">AVERAGE(D108:D113)</f>
        <v>5014.333333333333</v>
      </c>
      <c r="E115" s="2">
        <f t="shared" si="11"/>
        <v>21.833333333333332</v>
      </c>
      <c r="F115" s="2">
        <f t="shared" si="11"/>
        <v>70</v>
      </c>
    </row>
    <row r="116" spans="1:6" s="2" customFormat="1" ht="14.25" x14ac:dyDescent="0.2"/>
    <row r="117" spans="1:6" x14ac:dyDescent="0.25">
      <c r="A117" t="s">
        <v>15</v>
      </c>
      <c r="B117" t="s">
        <v>79</v>
      </c>
      <c r="C117">
        <v>21.05</v>
      </c>
      <c r="D117">
        <v>3641</v>
      </c>
      <c r="E117">
        <v>22</v>
      </c>
      <c r="F117">
        <v>66</v>
      </c>
    </row>
    <row r="118" spans="1:6" x14ac:dyDescent="0.25">
      <c r="A118" t="s">
        <v>16</v>
      </c>
      <c r="B118" t="s">
        <v>79</v>
      </c>
      <c r="C118">
        <v>20.58</v>
      </c>
      <c r="D118">
        <v>3779</v>
      </c>
      <c r="E118">
        <v>22</v>
      </c>
      <c r="F118">
        <v>69</v>
      </c>
    </row>
    <row r="119" spans="1:6" x14ac:dyDescent="0.25">
      <c r="A119" t="s">
        <v>17</v>
      </c>
      <c r="B119" t="s">
        <v>79</v>
      </c>
      <c r="C119">
        <v>20.51</v>
      </c>
      <c r="D119">
        <v>4515</v>
      </c>
      <c r="E119">
        <v>22</v>
      </c>
      <c r="F119">
        <v>68</v>
      </c>
    </row>
    <row r="120" spans="1:6" x14ac:dyDescent="0.25">
      <c r="A120" t="s">
        <v>18</v>
      </c>
      <c r="B120" t="s">
        <v>79</v>
      </c>
      <c r="C120">
        <v>21.17</v>
      </c>
      <c r="D120">
        <v>4128</v>
      </c>
      <c r="E120">
        <v>22</v>
      </c>
      <c r="F120">
        <v>68</v>
      </c>
    </row>
    <row r="121" spans="1:6" x14ac:dyDescent="0.25">
      <c r="A121" t="s">
        <v>19</v>
      </c>
      <c r="B121" t="s">
        <v>79</v>
      </c>
      <c r="C121">
        <v>21</v>
      </c>
      <c r="D121">
        <v>3736</v>
      </c>
      <c r="E121">
        <v>22</v>
      </c>
      <c r="F121">
        <v>68</v>
      </c>
    </row>
    <row r="122" spans="1:6" x14ac:dyDescent="0.25">
      <c r="A122" t="s">
        <v>20</v>
      </c>
      <c r="B122" t="s">
        <v>79</v>
      </c>
      <c r="C122">
        <v>19.510000000000002</v>
      </c>
      <c r="D122">
        <v>4545</v>
      </c>
      <c r="E122">
        <v>22</v>
      </c>
      <c r="F122">
        <v>65</v>
      </c>
    </row>
    <row r="123" spans="1:6" s="2" customFormat="1" ht="14.25" x14ac:dyDescent="0.2"/>
    <row r="124" spans="1:6" s="2" customFormat="1" ht="14.25" x14ac:dyDescent="0.2">
      <c r="B124" s="2" t="s">
        <v>116</v>
      </c>
      <c r="C124" s="2">
        <f>AVERAGE(C117:C122)</f>
        <v>20.636666666666667</v>
      </c>
      <c r="D124" s="2">
        <f t="shared" ref="D124:F124" si="12">AVERAGE(D117:D122)</f>
        <v>4057.3333333333335</v>
      </c>
      <c r="E124" s="2">
        <f t="shared" si="12"/>
        <v>22</v>
      </c>
      <c r="F124" s="2">
        <f t="shared" si="12"/>
        <v>67.333333333333329</v>
      </c>
    </row>
    <row r="125" spans="1:6" s="2" customFormat="1" ht="14.25" x14ac:dyDescent="0.2"/>
    <row r="126" spans="1:6" x14ac:dyDescent="0.25">
      <c r="A126" t="s">
        <v>21</v>
      </c>
      <c r="B126" t="s">
        <v>79</v>
      </c>
      <c r="C126">
        <v>21.16</v>
      </c>
      <c r="D126">
        <v>4654</v>
      </c>
      <c r="E126">
        <v>22</v>
      </c>
      <c r="F126">
        <v>68</v>
      </c>
    </row>
    <row r="127" spans="1:6" x14ac:dyDescent="0.25">
      <c r="A127" t="s">
        <v>22</v>
      </c>
      <c r="B127" t="s">
        <v>79</v>
      </c>
      <c r="C127">
        <v>20.96</v>
      </c>
      <c r="D127">
        <v>4167</v>
      </c>
      <c r="E127">
        <v>22</v>
      </c>
      <c r="F127">
        <v>68</v>
      </c>
    </row>
    <row r="128" spans="1:6" x14ac:dyDescent="0.25">
      <c r="A128" t="s">
        <v>23</v>
      </c>
      <c r="B128" t="s">
        <v>79</v>
      </c>
      <c r="C128">
        <v>21.39</v>
      </c>
      <c r="D128">
        <v>4390</v>
      </c>
      <c r="E128">
        <v>22</v>
      </c>
      <c r="F128">
        <v>69</v>
      </c>
    </row>
    <row r="129" spans="1:6" x14ac:dyDescent="0.25">
      <c r="A129" t="s">
        <v>24</v>
      </c>
      <c r="B129" t="s">
        <v>79</v>
      </c>
      <c r="C129">
        <v>21.13</v>
      </c>
      <c r="D129">
        <v>4519</v>
      </c>
      <c r="E129">
        <v>22</v>
      </c>
      <c r="F129">
        <v>68</v>
      </c>
    </row>
    <row r="130" spans="1:6" x14ac:dyDescent="0.25">
      <c r="A130" t="s">
        <v>25</v>
      </c>
      <c r="B130" t="s">
        <v>79</v>
      </c>
      <c r="C130">
        <v>21.71</v>
      </c>
      <c r="D130">
        <v>4311</v>
      </c>
      <c r="E130">
        <v>22</v>
      </c>
      <c r="F130">
        <v>68</v>
      </c>
    </row>
    <row r="131" spans="1:6" x14ac:dyDescent="0.25">
      <c r="A131" t="s">
        <v>26</v>
      </c>
      <c r="B131" t="s">
        <v>79</v>
      </c>
      <c r="C131">
        <v>22.12</v>
      </c>
      <c r="D131">
        <v>3993</v>
      </c>
      <c r="E131">
        <v>22</v>
      </c>
      <c r="F131">
        <v>68</v>
      </c>
    </row>
    <row r="132" spans="1:6" s="2" customFormat="1" ht="14.25" x14ac:dyDescent="0.2"/>
    <row r="133" spans="1:6" s="2" customFormat="1" ht="14.25" x14ac:dyDescent="0.2">
      <c r="B133" s="2" t="s">
        <v>116</v>
      </c>
      <c r="C133" s="2">
        <f>AVERAGE(C126:C131)</f>
        <v>21.411666666666665</v>
      </c>
      <c r="D133" s="2">
        <f t="shared" ref="D133:F133" si="13">AVERAGE(D126:D131)</f>
        <v>4339</v>
      </c>
      <c r="E133" s="2">
        <f t="shared" si="13"/>
        <v>22</v>
      </c>
      <c r="F133" s="2">
        <f t="shared" si="13"/>
        <v>68.166666666666671</v>
      </c>
    </row>
    <row r="134" spans="1:6" s="2" customFormat="1" ht="14.25" x14ac:dyDescent="0.2"/>
    <row r="135" spans="1:6" x14ac:dyDescent="0.25">
      <c r="A135" t="s">
        <v>27</v>
      </c>
      <c r="B135" t="s">
        <v>79</v>
      </c>
      <c r="C135">
        <v>23.03</v>
      </c>
      <c r="D135">
        <v>4667</v>
      </c>
      <c r="E135">
        <v>22</v>
      </c>
      <c r="F135">
        <v>66</v>
      </c>
    </row>
    <row r="136" spans="1:6" x14ac:dyDescent="0.25">
      <c r="A136" t="s">
        <v>28</v>
      </c>
      <c r="B136" t="s">
        <v>79</v>
      </c>
      <c r="C136">
        <v>22.45</v>
      </c>
      <c r="D136">
        <v>4480</v>
      </c>
      <c r="E136">
        <v>22</v>
      </c>
      <c r="F136">
        <v>68</v>
      </c>
    </row>
    <row r="137" spans="1:6" x14ac:dyDescent="0.25">
      <c r="A137" t="s">
        <v>29</v>
      </c>
      <c r="B137" t="s">
        <v>79</v>
      </c>
      <c r="C137">
        <v>22.53</v>
      </c>
      <c r="D137">
        <v>4561</v>
      </c>
      <c r="E137">
        <v>22</v>
      </c>
      <c r="F137">
        <v>67</v>
      </c>
    </row>
    <row r="138" spans="1:6" x14ac:dyDescent="0.25">
      <c r="A138" t="s">
        <v>30</v>
      </c>
      <c r="B138" t="s">
        <v>79</v>
      </c>
      <c r="C138">
        <v>23.05</v>
      </c>
      <c r="D138">
        <v>3273</v>
      </c>
      <c r="E138">
        <v>22</v>
      </c>
      <c r="F138">
        <v>68</v>
      </c>
    </row>
    <row r="139" spans="1:6" x14ac:dyDescent="0.25">
      <c r="A139" t="s">
        <v>31</v>
      </c>
      <c r="B139" t="s">
        <v>79</v>
      </c>
      <c r="C139">
        <v>22.84</v>
      </c>
      <c r="D139">
        <v>4364</v>
      </c>
      <c r="E139">
        <v>22</v>
      </c>
      <c r="F139">
        <v>68</v>
      </c>
    </row>
    <row r="140" spans="1:6" x14ac:dyDescent="0.25">
      <c r="A140" t="s">
        <v>32</v>
      </c>
      <c r="B140" t="s">
        <v>79</v>
      </c>
      <c r="C140">
        <v>22.39</v>
      </c>
      <c r="D140">
        <v>4273</v>
      </c>
      <c r="E140">
        <v>22</v>
      </c>
      <c r="F140">
        <v>67</v>
      </c>
    </row>
    <row r="141" spans="1:6" s="2" customFormat="1" ht="14.25" x14ac:dyDescent="0.2"/>
    <row r="142" spans="1:6" s="2" customFormat="1" ht="14.25" x14ac:dyDescent="0.2">
      <c r="B142" s="2" t="s">
        <v>116</v>
      </c>
      <c r="C142" s="2">
        <f>AVERAGE(C135:C140)</f>
        <v>22.715000000000003</v>
      </c>
      <c r="D142" s="2">
        <f t="shared" ref="D142:F142" si="14">AVERAGE(D135:D140)</f>
        <v>4269.666666666667</v>
      </c>
      <c r="E142" s="2">
        <f t="shared" si="14"/>
        <v>22</v>
      </c>
      <c r="F142" s="2">
        <f t="shared" si="14"/>
        <v>67.333333333333329</v>
      </c>
    </row>
    <row r="143" spans="1:6" s="2" customFormat="1" ht="14.25" x14ac:dyDescent="0.2"/>
    <row r="144" spans="1:6" x14ac:dyDescent="0.25">
      <c r="A144" t="s">
        <v>33</v>
      </c>
      <c r="B144" t="s">
        <v>79</v>
      </c>
      <c r="C144">
        <v>19.329999999999998</v>
      </c>
      <c r="D144">
        <v>5787</v>
      </c>
      <c r="E144">
        <v>22</v>
      </c>
      <c r="F144">
        <v>67</v>
      </c>
    </row>
    <row r="145" spans="1:6" x14ac:dyDescent="0.25">
      <c r="A145" t="s">
        <v>34</v>
      </c>
      <c r="B145" t="s">
        <v>79</v>
      </c>
      <c r="C145">
        <v>19.899999999999999</v>
      </c>
      <c r="D145">
        <v>5712</v>
      </c>
      <c r="E145">
        <v>22</v>
      </c>
      <c r="F145">
        <v>68</v>
      </c>
    </row>
    <row r="146" spans="1:6" x14ac:dyDescent="0.25">
      <c r="A146" t="s">
        <v>35</v>
      </c>
      <c r="B146" t="s">
        <v>79</v>
      </c>
      <c r="C146">
        <v>19.21</v>
      </c>
      <c r="D146">
        <v>5751</v>
      </c>
      <c r="E146">
        <v>22</v>
      </c>
      <c r="F146">
        <v>67</v>
      </c>
    </row>
    <row r="147" spans="1:6" x14ac:dyDescent="0.25">
      <c r="A147" t="s">
        <v>36</v>
      </c>
      <c r="B147" t="s">
        <v>79</v>
      </c>
      <c r="C147">
        <v>19.23</v>
      </c>
      <c r="D147">
        <v>5604</v>
      </c>
      <c r="E147">
        <v>22</v>
      </c>
      <c r="F147">
        <v>68</v>
      </c>
    </row>
    <row r="148" spans="1:6" x14ac:dyDescent="0.25">
      <c r="A148" t="s">
        <v>37</v>
      </c>
      <c r="B148" t="s">
        <v>79</v>
      </c>
      <c r="C148">
        <v>18.670000000000002</v>
      </c>
      <c r="D148">
        <v>6095</v>
      </c>
      <c r="E148">
        <v>22</v>
      </c>
      <c r="F148">
        <v>66</v>
      </c>
    </row>
    <row r="149" spans="1:6" x14ac:dyDescent="0.25">
      <c r="A149" t="s">
        <v>38</v>
      </c>
      <c r="B149" t="s">
        <v>79</v>
      </c>
      <c r="C149">
        <v>19.350000000000001</v>
      </c>
      <c r="D149">
        <v>5888</v>
      </c>
      <c r="E149">
        <v>22</v>
      </c>
      <c r="F149">
        <v>66</v>
      </c>
    </row>
    <row r="150" spans="1:6" s="2" customFormat="1" ht="14.25" x14ac:dyDescent="0.2"/>
    <row r="151" spans="1:6" s="2" customFormat="1" ht="14.25" x14ac:dyDescent="0.2">
      <c r="B151" s="2" t="s">
        <v>116</v>
      </c>
      <c r="C151" s="2">
        <f>AVERAGE(C144:C149)</f>
        <v>19.281666666666666</v>
      </c>
      <c r="D151" s="2">
        <f t="shared" ref="D151:F151" si="15">AVERAGE(D144:D149)</f>
        <v>5806.166666666667</v>
      </c>
      <c r="E151" s="2">
        <f t="shared" si="15"/>
        <v>22</v>
      </c>
      <c r="F151" s="2">
        <f t="shared" si="15"/>
        <v>67</v>
      </c>
    </row>
    <row r="152" spans="1:6" s="2" customFormat="1" ht="14.25" x14ac:dyDescent="0.2"/>
    <row r="153" spans="1:6" x14ac:dyDescent="0.25">
      <c r="A153" t="s">
        <v>39</v>
      </c>
      <c r="B153" t="s">
        <v>79</v>
      </c>
      <c r="C153">
        <v>17.97</v>
      </c>
      <c r="D153">
        <v>6978</v>
      </c>
      <c r="E153">
        <v>22</v>
      </c>
      <c r="F153">
        <v>66</v>
      </c>
    </row>
    <row r="154" spans="1:6" x14ac:dyDescent="0.25">
      <c r="A154" t="s">
        <v>40</v>
      </c>
      <c r="B154" t="s">
        <v>79</v>
      </c>
      <c r="C154">
        <v>18.13</v>
      </c>
      <c r="D154">
        <v>6102</v>
      </c>
      <c r="E154">
        <v>22</v>
      </c>
      <c r="F154">
        <v>66</v>
      </c>
    </row>
    <row r="155" spans="1:6" x14ac:dyDescent="0.25">
      <c r="A155" t="s">
        <v>41</v>
      </c>
      <c r="B155" t="s">
        <v>79</v>
      </c>
      <c r="C155">
        <v>17.95</v>
      </c>
      <c r="D155">
        <v>6495</v>
      </c>
      <c r="E155">
        <v>22</v>
      </c>
      <c r="F155">
        <v>66</v>
      </c>
    </row>
    <row r="156" spans="1:6" x14ac:dyDescent="0.25">
      <c r="A156" t="s">
        <v>42</v>
      </c>
      <c r="B156" t="s">
        <v>79</v>
      </c>
      <c r="C156">
        <v>18.059999999999999</v>
      </c>
      <c r="D156">
        <v>6705</v>
      </c>
      <c r="E156">
        <v>22</v>
      </c>
      <c r="F156">
        <v>67</v>
      </c>
    </row>
    <row r="157" spans="1:6" x14ac:dyDescent="0.25">
      <c r="A157" t="s">
        <v>43</v>
      </c>
      <c r="B157" t="s">
        <v>79</v>
      </c>
      <c r="C157">
        <v>18.12</v>
      </c>
      <c r="D157">
        <v>6802</v>
      </c>
      <c r="E157">
        <v>22</v>
      </c>
      <c r="F157">
        <v>66</v>
      </c>
    </row>
    <row r="158" spans="1:6" x14ac:dyDescent="0.25">
      <c r="A158" t="s">
        <v>44</v>
      </c>
      <c r="B158" t="s">
        <v>79</v>
      </c>
      <c r="C158">
        <v>18.27</v>
      </c>
      <c r="D158">
        <v>7061</v>
      </c>
      <c r="E158">
        <v>22</v>
      </c>
      <c r="F158">
        <v>66</v>
      </c>
    </row>
    <row r="159" spans="1:6" s="2" customFormat="1" ht="14.25" x14ac:dyDescent="0.2"/>
    <row r="160" spans="1:6" s="2" customFormat="1" ht="14.25" x14ac:dyDescent="0.2">
      <c r="B160" s="2" t="s">
        <v>116</v>
      </c>
      <c r="C160" s="2">
        <f>AVERAGE(C153:C158)</f>
        <v>18.083333333333332</v>
      </c>
      <c r="D160" s="2">
        <f t="shared" ref="D160:F160" si="16">AVERAGE(D153:D158)</f>
        <v>6690.5</v>
      </c>
      <c r="E160" s="2">
        <f t="shared" si="16"/>
        <v>22</v>
      </c>
      <c r="F160" s="2">
        <f t="shared" si="16"/>
        <v>66.166666666666671</v>
      </c>
    </row>
    <row r="161" spans="1:6" s="2" customFormat="1" ht="14.25" x14ac:dyDescent="0.2"/>
    <row r="162" spans="1:6" x14ac:dyDescent="0.25">
      <c r="A162" t="s">
        <v>45</v>
      </c>
      <c r="B162" t="s">
        <v>79</v>
      </c>
      <c r="C162">
        <v>19.03</v>
      </c>
      <c r="D162">
        <v>5150</v>
      </c>
      <c r="E162">
        <v>22</v>
      </c>
      <c r="F162">
        <v>67</v>
      </c>
    </row>
    <row r="163" spans="1:6" x14ac:dyDescent="0.25">
      <c r="A163" t="s">
        <v>46</v>
      </c>
      <c r="B163" t="s">
        <v>79</v>
      </c>
      <c r="C163">
        <v>18.96</v>
      </c>
      <c r="D163">
        <v>6868</v>
      </c>
      <c r="E163">
        <v>23</v>
      </c>
      <c r="F163">
        <v>67</v>
      </c>
    </row>
    <row r="164" spans="1:6" x14ac:dyDescent="0.25">
      <c r="A164" t="s">
        <v>47</v>
      </c>
      <c r="B164" t="s">
        <v>79</v>
      </c>
      <c r="C164">
        <v>18.23</v>
      </c>
      <c r="D164">
        <v>6565</v>
      </c>
      <c r="E164">
        <v>22</v>
      </c>
      <c r="F164">
        <v>68</v>
      </c>
    </row>
    <row r="165" spans="1:6" x14ac:dyDescent="0.25">
      <c r="A165" t="s">
        <v>48</v>
      </c>
      <c r="B165" t="s">
        <v>79</v>
      </c>
      <c r="C165">
        <v>18.38</v>
      </c>
      <c r="D165">
        <v>6169</v>
      </c>
      <c r="E165">
        <v>23</v>
      </c>
      <c r="F165">
        <v>66</v>
      </c>
    </row>
    <row r="166" spans="1:6" x14ac:dyDescent="0.25">
      <c r="A166" t="s">
        <v>49</v>
      </c>
      <c r="B166" t="s">
        <v>79</v>
      </c>
      <c r="C166">
        <v>18.420000000000002</v>
      </c>
      <c r="D166">
        <v>5648</v>
      </c>
      <c r="E166">
        <v>23</v>
      </c>
      <c r="F166">
        <v>66</v>
      </c>
    </row>
    <row r="167" spans="1:6" x14ac:dyDescent="0.25">
      <c r="A167" t="s">
        <v>50</v>
      </c>
      <c r="B167" t="s">
        <v>79</v>
      </c>
      <c r="C167">
        <v>19.02</v>
      </c>
      <c r="D167">
        <v>6000</v>
      </c>
      <c r="E167">
        <v>22</v>
      </c>
      <c r="F167">
        <v>66</v>
      </c>
    </row>
    <row r="168" spans="1:6" s="2" customFormat="1" ht="14.25" x14ac:dyDescent="0.2"/>
    <row r="169" spans="1:6" s="2" customFormat="1" ht="14.25" x14ac:dyDescent="0.2">
      <c r="B169" s="2" t="s">
        <v>116</v>
      </c>
      <c r="C169" s="2">
        <f>AVERAGE(C162:C167)</f>
        <v>18.673333333333332</v>
      </c>
      <c r="D169" s="2">
        <f t="shared" ref="D169:F169" si="17">AVERAGE(D162:D167)</f>
        <v>6066.666666666667</v>
      </c>
      <c r="E169" s="2">
        <f t="shared" si="17"/>
        <v>22.5</v>
      </c>
      <c r="F169" s="2">
        <f t="shared" si="17"/>
        <v>66.666666666666671</v>
      </c>
    </row>
    <row r="170" spans="1:6" s="2" customFormat="1" ht="14.25" x14ac:dyDescent="0.2"/>
    <row r="171" spans="1:6" x14ac:dyDescent="0.25">
      <c r="A171" t="s">
        <v>51</v>
      </c>
      <c r="B171" t="s">
        <v>79</v>
      </c>
      <c r="C171">
        <v>18.87</v>
      </c>
      <c r="D171">
        <v>6639</v>
      </c>
      <c r="E171">
        <v>23</v>
      </c>
      <c r="F171">
        <v>66</v>
      </c>
    </row>
    <row r="172" spans="1:6" x14ac:dyDescent="0.25">
      <c r="A172" t="s">
        <v>52</v>
      </c>
      <c r="B172" t="s">
        <v>79</v>
      </c>
      <c r="C172">
        <v>19.55</v>
      </c>
      <c r="D172">
        <v>6333</v>
      </c>
      <c r="E172">
        <v>23</v>
      </c>
      <c r="F172">
        <v>68</v>
      </c>
    </row>
    <row r="173" spans="1:6" x14ac:dyDescent="0.25">
      <c r="A173" t="s">
        <v>53</v>
      </c>
      <c r="B173" t="s">
        <v>79</v>
      </c>
      <c r="C173">
        <v>18.920000000000002</v>
      </c>
      <c r="D173">
        <v>6631</v>
      </c>
      <c r="E173">
        <v>22</v>
      </c>
      <c r="F173">
        <v>67</v>
      </c>
    </row>
    <row r="174" spans="1:6" x14ac:dyDescent="0.25">
      <c r="A174" t="s">
        <v>54</v>
      </c>
      <c r="B174" t="s">
        <v>79</v>
      </c>
      <c r="C174">
        <v>19.25</v>
      </c>
      <c r="D174">
        <v>6735</v>
      </c>
      <c r="E174">
        <v>23</v>
      </c>
      <c r="F174">
        <v>66</v>
      </c>
    </row>
    <row r="175" spans="1:6" x14ac:dyDescent="0.25">
      <c r="A175" t="s">
        <v>55</v>
      </c>
      <c r="B175" t="s">
        <v>79</v>
      </c>
      <c r="C175">
        <v>18.850000000000001</v>
      </c>
      <c r="D175">
        <v>6012</v>
      </c>
      <c r="E175">
        <v>23</v>
      </c>
      <c r="F175">
        <v>66</v>
      </c>
    </row>
    <row r="176" spans="1:6" x14ac:dyDescent="0.25">
      <c r="A176" t="s">
        <v>56</v>
      </c>
      <c r="B176" t="s">
        <v>79</v>
      </c>
      <c r="C176">
        <v>18.68</v>
      </c>
      <c r="D176">
        <v>6515</v>
      </c>
      <c r="E176">
        <v>23</v>
      </c>
      <c r="F176">
        <v>68</v>
      </c>
    </row>
    <row r="177" spans="1:6" s="2" customFormat="1" ht="14.25" x14ac:dyDescent="0.2"/>
    <row r="178" spans="1:6" s="2" customFormat="1" ht="14.25" x14ac:dyDescent="0.2">
      <c r="B178" s="2" t="s">
        <v>116</v>
      </c>
      <c r="C178" s="2">
        <f>AVERAGE(C171:C176)</f>
        <v>19.02</v>
      </c>
      <c r="D178" s="2">
        <f t="shared" ref="D178:F178" si="18">AVERAGE(D171:D176)</f>
        <v>6477.5</v>
      </c>
      <c r="E178" s="2">
        <f t="shared" si="18"/>
        <v>22.833333333333332</v>
      </c>
      <c r="F178" s="2">
        <f t="shared" si="18"/>
        <v>66.833333333333329</v>
      </c>
    </row>
    <row r="179" spans="1:6" s="2" customFormat="1" ht="14.25" x14ac:dyDescent="0.2"/>
    <row r="180" spans="1:6" x14ac:dyDescent="0.25">
      <c r="A180" t="s">
        <v>57</v>
      </c>
      <c r="B180" t="s">
        <v>79</v>
      </c>
      <c r="C180">
        <v>20.21</v>
      </c>
      <c r="D180">
        <v>5372</v>
      </c>
      <c r="E180">
        <v>23</v>
      </c>
      <c r="F180">
        <v>66</v>
      </c>
    </row>
    <row r="181" spans="1:6" x14ac:dyDescent="0.25">
      <c r="A181" t="s">
        <v>58</v>
      </c>
      <c r="B181" t="s">
        <v>79</v>
      </c>
      <c r="C181">
        <v>19.8</v>
      </c>
      <c r="D181">
        <v>5301</v>
      </c>
      <c r="E181">
        <v>23</v>
      </c>
      <c r="F181">
        <v>65</v>
      </c>
    </row>
    <row r="182" spans="1:6" x14ac:dyDescent="0.25">
      <c r="A182" t="s">
        <v>59</v>
      </c>
      <c r="B182" t="s">
        <v>79</v>
      </c>
      <c r="C182">
        <v>20.25</v>
      </c>
      <c r="D182">
        <v>5520</v>
      </c>
      <c r="E182">
        <v>23</v>
      </c>
      <c r="F182">
        <v>66</v>
      </c>
    </row>
    <row r="183" spans="1:6" x14ac:dyDescent="0.25">
      <c r="A183" t="s">
        <v>60</v>
      </c>
      <c r="B183" t="s">
        <v>79</v>
      </c>
      <c r="C183">
        <v>20.67</v>
      </c>
      <c r="D183">
        <v>5412</v>
      </c>
      <c r="E183">
        <v>23</v>
      </c>
      <c r="F183">
        <v>66</v>
      </c>
    </row>
    <row r="184" spans="1:6" x14ac:dyDescent="0.25">
      <c r="A184" t="s">
        <v>61</v>
      </c>
      <c r="B184" t="s">
        <v>79</v>
      </c>
      <c r="C184">
        <v>20.02</v>
      </c>
      <c r="D184">
        <v>4652</v>
      </c>
      <c r="E184">
        <v>23</v>
      </c>
      <c r="F184">
        <v>65</v>
      </c>
    </row>
    <row r="185" spans="1:6" x14ac:dyDescent="0.25">
      <c r="A185" t="s">
        <v>62</v>
      </c>
      <c r="B185" t="s">
        <v>79</v>
      </c>
      <c r="C185">
        <v>20.34</v>
      </c>
      <c r="D185">
        <v>5655</v>
      </c>
      <c r="E185">
        <v>23</v>
      </c>
      <c r="F185">
        <v>65</v>
      </c>
    </row>
    <row r="186" spans="1:6" s="2" customFormat="1" ht="14.25" x14ac:dyDescent="0.2"/>
    <row r="187" spans="1:6" s="2" customFormat="1" ht="14.25" x14ac:dyDescent="0.2">
      <c r="B187" s="2" t="s">
        <v>116</v>
      </c>
      <c r="C187" s="2">
        <f>AVERAGE(C180:C185)</f>
        <v>20.215</v>
      </c>
      <c r="D187" s="2">
        <f t="shared" ref="D187:F187" si="19">AVERAGE(D180:D185)</f>
        <v>5318.666666666667</v>
      </c>
      <c r="E187" s="2">
        <f t="shared" si="19"/>
        <v>23</v>
      </c>
      <c r="F187" s="2">
        <f t="shared" si="19"/>
        <v>65.5</v>
      </c>
    </row>
    <row r="188" spans="1:6" s="2" customFormat="1" ht="14.25" x14ac:dyDescent="0.2"/>
    <row r="189" spans="1:6" x14ac:dyDescent="0.25">
      <c r="A189" t="s">
        <v>63</v>
      </c>
      <c r="B189" t="s">
        <v>79</v>
      </c>
      <c r="C189">
        <v>20.48</v>
      </c>
      <c r="D189">
        <v>5544</v>
      </c>
      <c r="E189">
        <v>23</v>
      </c>
      <c r="F189">
        <v>65</v>
      </c>
    </row>
    <row r="190" spans="1:6" x14ac:dyDescent="0.25">
      <c r="A190" t="s">
        <v>64</v>
      </c>
      <c r="B190" t="s">
        <v>79</v>
      </c>
      <c r="C190">
        <v>20.73</v>
      </c>
      <c r="D190">
        <v>5400</v>
      </c>
      <c r="E190">
        <v>23</v>
      </c>
      <c r="F190">
        <v>65</v>
      </c>
    </row>
    <row r="191" spans="1:6" x14ac:dyDescent="0.25">
      <c r="A191" t="s">
        <v>65</v>
      </c>
      <c r="B191" t="s">
        <v>79</v>
      </c>
      <c r="C191">
        <v>20.21</v>
      </c>
      <c r="D191">
        <v>5425</v>
      </c>
      <c r="E191">
        <v>23</v>
      </c>
      <c r="F191">
        <v>64</v>
      </c>
    </row>
    <row r="192" spans="1:6" x14ac:dyDescent="0.25">
      <c r="A192" t="s">
        <v>66</v>
      </c>
      <c r="B192" t="s">
        <v>79</v>
      </c>
      <c r="C192">
        <v>19.940000000000001</v>
      </c>
      <c r="D192">
        <v>5698</v>
      </c>
      <c r="E192">
        <v>23</v>
      </c>
      <c r="F192">
        <v>66</v>
      </c>
    </row>
    <row r="193" spans="1:6" x14ac:dyDescent="0.25">
      <c r="A193" t="s">
        <v>67</v>
      </c>
      <c r="B193" t="s">
        <v>79</v>
      </c>
      <c r="C193">
        <v>20.16</v>
      </c>
      <c r="D193">
        <v>5437</v>
      </c>
      <c r="E193">
        <v>22</v>
      </c>
      <c r="F193">
        <v>65</v>
      </c>
    </row>
    <row r="194" spans="1:6" x14ac:dyDescent="0.25">
      <c r="A194" t="s">
        <v>68</v>
      </c>
      <c r="B194" t="s">
        <v>79</v>
      </c>
      <c r="C194">
        <v>19.57</v>
      </c>
      <c r="D194">
        <v>5564</v>
      </c>
      <c r="E194">
        <v>23</v>
      </c>
      <c r="F194">
        <v>64</v>
      </c>
    </row>
    <row r="195" spans="1:6" s="2" customFormat="1" ht="14.25" x14ac:dyDescent="0.2"/>
    <row r="196" spans="1:6" s="2" customFormat="1" ht="14.25" x14ac:dyDescent="0.2">
      <c r="B196" s="2" t="s">
        <v>116</v>
      </c>
      <c r="C196" s="2">
        <f>AVERAGE(C189:C194)</f>
        <v>20.181666666666668</v>
      </c>
      <c r="D196" s="2">
        <f t="shared" ref="D196:F196" si="20">AVERAGE(D189:D194)</f>
        <v>5511.333333333333</v>
      </c>
      <c r="E196" s="2">
        <f t="shared" si="20"/>
        <v>22.833333333333332</v>
      </c>
      <c r="F196" s="2">
        <f t="shared" si="20"/>
        <v>64.833333333333329</v>
      </c>
    </row>
    <row r="197" spans="1:6" s="2" customFormat="1" ht="14.25" x14ac:dyDescent="0.2"/>
    <row r="198" spans="1:6" x14ac:dyDescent="0.25">
      <c r="A198" t="s">
        <v>69</v>
      </c>
      <c r="B198" t="s">
        <v>79</v>
      </c>
      <c r="C198">
        <v>20.149999999999999</v>
      </c>
      <c r="D198">
        <v>5387</v>
      </c>
      <c r="E198">
        <v>23</v>
      </c>
      <c r="F198">
        <v>64</v>
      </c>
    </row>
    <row r="199" spans="1:6" x14ac:dyDescent="0.25">
      <c r="A199" t="s">
        <v>70</v>
      </c>
      <c r="B199" t="s">
        <v>79</v>
      </c>
      <c r="C199">
        <v>20.350000000000001</v>
      </c>
      <c r="D199">
        <v>4914</v>
      </c>
      <c r="E199">
        <v>22</v>
      </c>
      <c r="F199">
        <v>64</v>
      </c>
    </row>
    <row r="200" spans="1:6" x14ac:dyDescent="0.25">
      <c r="A200" t="s">
        <v>71</v>
      </c>
      <c r="B200" t="s">
        <v>79</v>
      </c>
      <c r="C200">
        <v>20.83</v>
      </c>
      <c r="D200">
        <v>5533</v>
      </c>
      <c r="E200">
        <v>23</v>
      </c>
      <c r="F200">
        <v>66</v>
      </c>
    </row>
    <row r="201" spans="1:6" x14ac:dyDescent="0.25">
      <c r="A201" t="s">
        <v>72</v>
      </c>
      <c r="B201" t="s">
        <v>79</v>
      </c>
      <c r="C201">
        <v>20.22</v>
      </c>
      <c r="D201">
        <v>5666</v>
      </c>
      <c r="E201">
        <v>23</v>
      </c>
      <c r="F201">
        <v>64</v>
      </c>
    </row>
    <row r="202" spans="1:6" x14ac:dyDescent="0.25">
      <c r="A202" t="s">
        <v>73</v>
      </c>
      <c r="B202" t="s">
        <v>79</v>
      </c>
      <c r="C202">
        <v>20.62</v>
      </c>
      <c r="D202">
        <v>5490</v>
      </c>
      <c r="E202">
        <v>23</v>
      </c>
      <c r="F202">
        <v>65</v>
      </c>
    </row>
    <row r="203" spans="1:6" x14ac:dyDescent="0.25">
      <c r="A203" t="s">
        <v>74</v>
      </c>
      <c r="B203" t="s">
        <v>79</v>
      </c>
      <c r="C203">
        <v>20.7</v>
      </c>
      <c r="D203">
        <v>5440</v>
      </c>
      <c r="E203">
        <v>23</v>
      </c>
      <c r="F203">
        <v>65</v>
      </c>
    </row>
    <row r="204" spans="1:6" s="2" customFormat="1" ht="14.25" x14ac:dyDescent="0.2"/>
    <row r="205" spans="1:6" s="2" customFormat="1" ht="14.25" x14ac:dyDescent="0.2">
      <c r="B205" s="2" t="s">
        <v>116</v>
      </c>
      <c r="C205" s="2">
        <f>AVERAGE(C198:C203)</f>
        <v>20.478333333333335</v>
      </c>
      <c r="D205" s="2">
        <f t="shared" ref="D205:F205" si="21">AVERAGE(D198:D203)</f>
        <v>5405</v>
      </c>
      <c r="E205" s="2">
        <f t="shared" si="21"/>
        <v>22.833333333333332</v>
      </c>
      <c r="F205" s="2">
        <f t="shared" si="21"/>
        <v>64.666666666666671</v>
      </c>
    </row>
    <row r="206" spans="1:6" s="2" customFormat="1" x14ac:dyDescent="0.25">
      <c r="B206"/>
    </row>
    <row r="207" spans="1:6" s="2" customFormat="1" x14ac:dyDescent="0.25">
      <c r="B207"/>
    </row>
    <row r="208" spans="1:6" x14ac:dyDescent="0.25">
      <c r="B208" s="2"/>
    </row>
    <row r="209" spans="1:6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</row>
    <row r="210" spans="1:6" x14ac:dyDescent="0.25">
      <c r="A210" s="1" t="s">
        <v>76</v>
      </c>
      <c r="B210" t="s">
        <v>7</v>
      </c>
      <c r="C210" t="s">
        <v>8</v>
      </c>
      <c r="D210" t="s">
        <v>7</v>
      </c>
    </row>
    <row r="212" spans="1:6" x14ac:dyDescent="0.25">
      <c r="A212" t="s">
        <v>9</v>
      </c>
      <c r="B212" t="s">
        <v>79</v>
      </c>
      <c r="C212">
        <v>20.61</v>
      </c>
      <c r="D212">
        <v>4181</v>
      </c>
      <c r="E212">
        <v>21</v>
      </c>
      <c r="F212">
        <v>67</v>
      </c>
    </row>
    <row r="213" spans="1:6" x14ac:dyDescent="0.25">
      <c r="A213" t="s">
        <v>10</v>
      </c>
      <c r="B213" t="s">
        <v>79</v>
      </c>
      <c r="C213">
        <v>19.82</v>
      </c>
      <c r="D213">
        <v>4673</v>
      </c>
      <c r="E213">
        <v>22</v>
      </c>
      <c r="F213">
        <v>64</v>
      </c>
    </row>
    <row r="214" spans="1:6" x14ac:dyDescent="0.25">
      <c r="A214" t="s">
        <v>11</v>
      </c>
      <c r="B214" t="s">
        <v>79</v>
      </c>
      <c r="C214">
        <v>21.18</v>
      </c>
      <c r="D214">
        <v>3404</v>
      </c>
      <c r="E214">
        <v>21</v>
      </c>
      <c r="F214">
        <v>70</v>
      </c>
    </row>
    <row r="215" spans="1:6" x14ac:dyDescent="0.25">
      <c r="A215" t="s">
        <v>12</v>
      </c>
      <c r="B215" t="s">
        <v>79</v>
      </c>
      <c r="C215">
        <v>21.1</v>
      </c>
      <c r="D215">
        <v>4374</v>
      </c>
      <c r="E215">
        <v>21</v>
      </c>
      <c r="F215">
        <v>68</v>
      </c>
    </row>
    <row r="216" spans="1:6" x14ac:dyDescent="0.25">
      <c r="A216" t="s">
        <v>13</v>
      </c>
      <c r="B216" t="s">
        <v>79</v>
      </c>
      <c r="C216">
        <v>19.760000000000002</v>
      </c>
      <c r="D216">
        <v>4442</v>
      </c>
      <c r="E216">
        <v>22</v>
      </c>
      <c r="F216">
        <v>68</v>
      </c>
    </row>
    <row r="217" spans="1:6" x14ac:dyDescent="0.25">
      <c r="A217" t="s">
        <v>14</v>
      </c>
      <c r="B217" t="s">
        <v>79</v>
      </c>
      <c r="C217">
        <v>20.100000000000001</v>
      </c>
      <c r="D217">
        <v>3994</v>
      </c>
      <c r="E217">
        <v>22</v>
      </c>
      <c r="F217">
        <v>69</v>
      </c>
    </row>
    <row r="218" spans="1:6" s="2" customFormat="1" ht="14.25" x14ac:dyDescent="0.2"/>
    <row r="219" spans="1:6" s="2" customFormat="1" ht="14.25" x14ac:dyDescent="0.2">
      <c r="B219" s="2" t="s">
        <v>116</v>
      </c>
      <c r="C219" s="2">
        <f>AVERAGE(C212:C217)</f>
        <v>20.428333333333338</v>
      </c>
      <c r="D219" s="2">
        <f t="shared" ref="D219:F219" si="22">AVERAGE(D212:D217)</f>
        <v>4178</v>
      </c>
      <c r="E219" s="2">
        <f t="shared" si="22"/>
        <v>21.5</v>
      </c>
      <c r="F219" s="2">
        <f t="shared" si="22"/>
        <v>67.666666666666671</v>
      </c>
    </row>
    <row r="220" spans="1:6" s="2" customFormat="1" ht="14.25" x14ac:dyDescent="0.2"/>
    <row r="221" spans="1:6" x14ac:dyDescent="0.25">
      <c r="A221" t="s">
        <v>15</v>
      </c>
      <c r="B221" t="s">
        <v>79</v>
      </c>
      <c r="C221">
        <v>20.37</v>
      </c>
      <c r="D221">
        <v>4385</v>
      </c>
      <c r="E221">
        <v>22</v>
      </c>
      <c r="F221">
        <v>68</v>
      </c>
    </row>
    <row r="222" spans="1:6" x14ac:dyDescent="0.25">
      <c r="A222" t="s">
        <v>16</v>
      </c>
      <c r="B222" t="s">
        <v>79</v>
      </c>
      <c r="C222">
        <v>20.81</v>
      </c>
      <c r="D222">
        <v>4429</v>
      </c>
      <c r="E222">
        <v>22</v>
      </c>
      <c r="F222">
        <v>68</v>
      </c>
    </row>
    <row r="223" spans="1:6" x14ac:dyDescent="0.25">
      <c r="A223" t="s">
        <v>17</v>
      </c>
      <c r="B223" t="s">
        <v>79</v>
      </c>
      <c r="C223">
        <v>19.88</v>
      </c>
      <c r="D223">
        <v>4060</v>
      </c>
      <c r="E223">
        <v>21</v>
      </c>
      <c r="F223">
        <v>67</v>
      </c>
    </row>
    <row r="224" spans="1:6" x14ac:dyDescent="0.25">
      <c r="A224" t="s">
        <v>18</v>
      </c>
      <c r="B224" t="s">
        <v>79</v>
      </c>
      <c r="C224">
        <v>20.45</v>
      </c>
      <c r="D224">
        <v>4368</v>
      </c>
      <c r="E224">
        <v>22</v>
      </c>
      <c r="F224">
        <v>68</v>
      </c>
    </row>
    <row r="225" spans="1:6" x14ac:dyDescent="0.25">
      <c r="A225" t="s">
        <v>19</v>
      </c>
      <c r="B225" t="s">
        <v>79</v>
      </c>
      <c r="C225">
        <v>20.72</v>
      </c>
      <c r="D225">
        <v>4322</v>
      </c>
      <c r="E225">
        <v>22</v>
      </c>
      <c r="F225">
        <v>69</v>
      </c>
    </row>
    <row r="226" spans="1:6" x14ac:dyDescent="0.25">
      <c r="A226" t="s">
        <v>20</v>
      </c>
      <c r="B226" t="s">
        <v>79</v>
      </c>
      <c r="C226">
        <v>20.059999999999999</v>
      </c>
      <c r="D226">
        <v>4533</v>
      </c>
      <c r="E226">
        <v>22</v>
      </c>
      <c r="F226">
        <v>68</v>
      </c>
    </row>
    <row r="227" spans="1:6" s="2" customFormat="1" ht="14.25" x14ac:dyDescent="0.2"/>
    <row r="228" spans="1:6" s="2" customFormat="1" ht="14.25" x14ac:dyDescent="0.2">
      <c r="B228" s="2" t="s">
        <v>116</v>
      </c>
      <c r="C228" s="2">
        <f>AVERAGE(C221:C226)</f>
        <v>20.381666666666668</v>
      </c>
      <c r="D228" s="2">
        <f t="shared" ref="D228:F228" si="23">AVERAGE(D221:D226)</f>
        <v>4349.5</v>
      </c>
      <c r="E228" s="2">
        <f t="shared" si="23"/>
        <v>21.833333333333332</v>
      </c>
      <c r="F228" s="2">
        <f t="shared" si="23"/>
        <v>68</v>
      </c>
    </row>
    <row r="229" spans="1:6" s="2" customFormat="1" ht="14.25" x14ac:dyDescent="0.2"/>
    <row r="230" spans="1:6" x14ac:dyDescent="0.25">
      <c r="A230" t="s">
        <v>21</v>
      </c>
      <c r="B230" t="s">
        <v>79</v>
      </c>
      <c r="C230">
        <v>21.71</v>
      </c>
      <c r="D230">
        <v>4711</v>
      </c>
      <c r="E230">
        <v>23</v>
      </c>
      <c r="F230">
        <v>69</v>
      </c>
    </row>
    <row r="231" spans="1:6" x14ac:dyDescent="0.25">
      <c r="A231" t="s">
        <v>22</v>
      </c>
      <c r="B231" t="s">
        <v>79</v>
      </c>
      <c r="C231">
        <v>21.46</v>
      </c>
      <c r="D231">
        <v>4765</v>
      </c>
      <c r="E231">
        <v>22</v>
      </c>
      <c r="F231">
        <v>69</v>
      </c>
    </row>
    <row r="232" spans="1:6" x14ac:dyDescent="0.25">
      <c r="A232" t="s">
        <v>23</v>
      </c>
      <c r="B232" t="s">
        <v>79</v>
      </c>
      <c r="C232">
        <v>21.84</v>
      </c>
      <c r="D232">
        <v>4841</v>
      </c>
      <c r="E232">
        <v>22</v>
      </c>
      <c r="F232">
        <v>68</v>
      </c>
    </row>
    <row r="233" spans="1:6" x14ac:dyDescent="0.25">
      <c r="A233" t="s">
        <v>24</v>
      </c>
      <c r="B233" t="s">
        <v>79</v>
      </c>
      <c r="C233">
        <v>21.11</v>
      </c>
      <c r="D233">
        <v>5297</v>
      </c>
      <c r="E233">
        <v>22</v>
      </c>
      <c r="F233">
        <v>68</v>
      </c>
    </row>
    <row r="234" spans="1:6" x14ac:dyDescent="0.25">
      <c r="A234" t="s">
        <v>25</v>
      </c>
      <c r="B234" t="s">
        <v>79</v>
      </c>
      <c r="C234">
        <v>20.82</v>
      </c>
      <c r="D234">
        <v>5009</v>
      </c>
      <c r="E234">
        <v>22</v>
      </c>
      <c r="F234">
        <v>69</v>
      </c>
    </row>
    <row r="235" spans="1:6" x14ac:dyDescent="0.25">
      <c r="A235" t="s">
        <v>26</v>
      </c>
      <c r="B235" t="s">
        <v>79</v>
      </c>
      <c r="C235">
        <v>21.72</v>
      </c>
      <c r="D235">
        <v>4999</v>
      </c>
      <c r="E235">
        <v>22</v>
      </c>
      <c r="F235">
        <v>68</v>
      </c>
    </row>
    <row r="236" spans="1:6" s="2" customFormat="1" ht="14.25" x14ac:dyDescent="0.2"/>
    <row r="237" spans="1:6" s="2" customFormat="1" ht="14.25" x14ac:dyDescent="0.2">
      <c r="B237" s="2" t="s">
        <v>116</v>
      </c>
      <c r="C237" s="2">
        <f>AVERAGE(C230:C235)</f>
        <v>21.443333333333332</v>
      </c>
      <c r="D237" s="2">
        <f t="shared" ref="D237:F237" si="24">AVERAGE(D230:D235)</f>
        <v>4937</v>
      </c>
      <c r="E237" s="2">
        <f t="shared" si="24"/>
        <v>22.166666666666668</v>
      </c>
      <c r="F237" s="2">
        <f t="shared" si="24"/>
        <v>68.5</v>
      </c>
    </row>
    <row r="238" spans="1:6" s="2" customFormat="1" ht="14.25" x14ac:dyDescent="0.2"/>
    <row r="239" spans="1:6" x14ac:dyDescent="0.25">
      <c r="A239" t="s">
        <v>27</v>
      </c>
      <c r="B239" t="s">
        <v>79</v>
      </c>
      <c r="C239">
        <v>22.7</v>
      </c>
      <c r="D239">
        <v>4193</v>
      </c>
      <c r="E239">
        <v>22</v>
      </c>
      <c r="F239">
        <v>68</v>
      </c>
    </row>
    <row r="240" spans="1:6" x14ac:dyDescent="0.25">
      <c r="A240" t="s">
        <v>28</v>
      </c>
      <c r="B240" t="s">
        <v>79</v>
      </c>
      <c r="C240">
        <v>22.06</v>
      </c>
      <c r="D240">
        <v>4247</v>
      </c>
      <c r="E240">
        <v>22</v>
      </c>
      <c r="F240">
        <v>67</v>
      </c>
    </row>
    <row r="241" spans="1:6" x14ac:dyDescent="0.25">
      <c r="A241" t="s">
        <v>29</v>
      </c>
      <c r="B241" t="s">
        <v>79</v>
      </c>
      <c r="C241">
        <v>23.15</v>
      </c>
      <c r="D241">
        <v>3841</v>
      </c>
      <c r="E241">
        <v>22</v>
      </c>
      <c r="F241">
        <v>65</v>
      </c>
    </row>
    <row r="242" spans="1:6" x14ac:dyDescent="0.25">
      <c r="A242" t="s">
        <v>30</v>
      </c>
      <c r="B242" t="s">
        <v>79</v>
      </c>
      <c r="C242">
        <v>22.54</v>
      </c>
      <c r="D242">
        <v>4284</v>
      </c>
      <c r="E242">
        <v>22</v>
      </c>
      <c r="F242">
        <v>68</v>
      </c>
    </row>
    <row r="243" spans="1:6" x14ac:dyDescent="0.25">
      <c r="A243" t="s">
        <v>31</v>
      </c>
      <c r="B243" t="s">
        <v>79</v>
      </c>
      <c r="C243">
        <v>23.83</v>
      </c>
      <c r="D243">
        <v>4059</v>
      </c>
      <c r="E243">
        <v>22</v>
      </c>
      <c r="F243">
        <v>68</v>
      </c>
    </row>
    <row r="244" spans="1:6" x14ac:dyDescent="0.25">
      <c r="A244" t="s">
        <v>32</v>
      </c>
      <c r="B244" t="s">
        <v>79</v>
      </c>
      <c r="C244">
        <v>22.75</v>
      </c>
      <c r="D244">
        <v>4484</v>
      </c>
      <c r="E244">
        <v>22</v>
      </c>
      <c r="F244">
        <v>68</v>
      </c>
    </row>
    <row r="245" spans="1:6" s="2" customFormat="1" ht="14.25" x14ac:dyDescent="0.2"/>
    <row r="246" spans="1:6" s="2" customFormat="1" ht="14.25" x14ac:dyDescent="0.2">
      <c r="B246" s="2" t="s">
        <v>116</v>
      </c>
      <c r="C246" s="2">
        <f>AVERAGE(C239:C244)</f>
        <v>22.838333333333328</v>
      </c>
      <c r="D246" s="2">
        <f t="shared" ref="D246:F246" si="25">AVERAGE(D239:D244)</f>
        <v>4184.666666666667</v>
      </c>
      <c r="E246" s="2">
        <f t="shared" si="25"/>
        <v>22</v>
      </c>
      <c r="F246" s="2">
        <f t="shared" si="25"/>
        <v>67.333333333333329</v>
      </c>
    </row>
    <row r="247" spans="1:6" s="2" customFormat="1" ht="14.25" x14ac:dyDescent="0.2"/>
    <row r="248" spans="1:6" x14ac:dyDescent="0.25">
      <c r="A248" t="s">
        <v>33</v>
      </c>
      <c r="B248" t="s">
        <v>79</v>
      </c>
      <c r="C248">
        <v>18.989999999999998</v>
      </c>
      <c r="D248">
        <v>6071</v>
      </c>
      <c r="E248">
        <v>22</v>
      </c>
      <c r="F248">
        <v>68</v>
      </c>
    </row>
    <row r="249" spans="1:6" x14ac:dyDescent="0.25">
      <c r="A249" t="s">
        <v>34</v>
      </c>
      <c r="B249" t="s">
        <v>79</v>
      </c>
      <c r="C249">
        <v>18.77</v>
      </c>
      <c r="D249">
        <v>6691</v>
      </c>
      <c r="E249">
        <v>22</v>
      </c>
      <c r="F249">
        <v>68</v>
      </c>
    </row>
    <row r="250" spans="1:6" x14ac:dyDescent="0.25">
      <c r="A250" t="s">
        <v>35</v>
      </c>
      <c r="B250" t="s">
        <v>79</v>
      </c>
      <c r="C250">
        <v>19.14</v>
      </c>
      <c r="D250">
        <v>6417</v>
      </c>
      <c r="E250">
        <v>22</v>
      </c>
      <c r="F250">
        <v>68</v>
      </c>
    </row>
    <row r="251" spans="1:6" x14ac:dyDescent="0.25">
      <c r="A251" t="s">
        <v>36</v>
      </c>
      <c r="B251" t="s">
        <v>79</v>
      </c>
      <c r="C251">
        <v>19.45</v>
      </c>
      <c r="D251">
        <v>5776</v>
      </c>
      <c r="E251">
        <v>22</v>
      </c>
      <c r="F251">
        <v>66</v>
      </c>
    </row>
    <row r="252" spans="1:6" x14ac:dyDescent="0.25">
      <c r="A252" t="s">
        <v>37</v>
      </c>
      <c r="B252" t="s">
        <v>79</v>
      </c>
      <c r="C252">
        <v>19.03</v>
      </c>
      <c r="D252">
        <v>6291</v>
      </c>
      <c r="E252">
        <v>22</v>
      </c>
      <c r="F252">
        <v>68</v>
      </c>
    </row>
    <row r="253" spans="1:6" x14ac:dyDescent="0.25">
      <c r="A253" t="s">
        <v>38</v>
      </c>
      <c r="B253" t="s">
        <v>79</v>
      </c>
      <c r="C253">
        <v>19.559999999999999</v>
      </c>
      <c r="D253">
        <v>5957</v>
      </c>
      <c r="E253">
        <v>22</v>
      </c>
      <c r="F253">
        <v>68</v>
      </c>
    </row>
    <row r="254" spans="1:6" s="2" customFormat="1" ht="14.25" x14ac:dyDescent="0.2"/>
    <row r="255" spans="1:6" s="2" customFormat="1" ht="14.25" x14ac:dyDescent="0.2">
      <c r="B255" s="2" t="s">
        <v>116</v>
      </c>
      <c r="C255" s="2">
        <f>AVERAGE(C248:C253)</f>
        <v>19.156666666666666</v>
      </c>
      <c r="D255" s="2">
        <f t="shared" ref="D255:F255" si="26">AVERAGE(D248:D253)</f>
        <v>6200.5</v>
      </c>
      <c r="E255" s="2">
        <f t="shared" si="26"/>
        <v>22</v>
      </c>
      <c r="F255" s="2">
        <f t="shared" si="26"/>
        <v>67.666666666666671</v>
      </c>
    </row>
    <row r="256" spans="1:6" s="2" customFormat="1" ht="14.25" x14ac:dyDescent="0.2"/>
    <row r="257" spans="1:6" x14ac:dyDescent="0.25">
      <c r="A257" t="s">
        <v>39</v>
      </c>
      <c r="B257" t="s">
        <v>79</v>
      </c>
      <c r="C257">
        <v>18.57</v>
      </c>
      <c r="D257">
        <v>6327</v>
      </c>
      <c r="E257">
        <v>22</v>
      </c>
      <c r="F257">
        <v>66</v>
      </c>
    </row>
    <row r="258" spans="1:6" x14ac:dyDescent="0.25">
      <c r="A258" t="s">
        <v>40</v>
      </c>
      <c r="B258" t="s">
        <v>79</v>
      </c>
      <c r="C258">
        <v>18.010000000000002</v>
      </c>
      <c r="D258">
        <v>6223</v>
      </c>
      <c r="E258">
        <v>22</v>
      </c>
      <c r="F258">
        <v>67</v>
      </c>
    </row>
    <row r="259" spans="1:6" x14ac:dyDescent="0.25">
      <c r="A259" t="s">
        <v>41</v>
      </c>
      <c r="B259" t="s">
        <v>79</v>
      </c>
      <c r="C259">
        <v>18.32</v>
      </c>
      <c r="D259">
        <v>6599</v>
      </c>
      <c r="E259">
        <v>22</v>
      </c>
      <c r="F259">
        <v>66</v>
      </c>
    </row>
    <row r="260" spans="1:6" x14ac:dyDescent="0.25">
      <c r="A260" t="s">
        <v>42</v>
      </c>
      <c r="B260" t="s">
        <v>79</v>
      </c>
      <c r="C260">
        <v>18.010000000000002</v>
      </c>
      <c r="D260">
        <v>6469</v>
      </c>
      <c r="E260">
        <v>22</v>
      </c>
      <c r="F260">
        <v>68</v>
      </c>
    </row>
    <row r="261" spans="1:6" x14ac:dyDescent="0.25">
      <c r="A261" t="s">
        <v>43</v>
      </c>
      <c r="B261" t="s">
        <v>79</v>
      </c>
      <c r="C261">
        <v>17.97</v>
      </c>
      <c r="D261">
        <v>6634</v>
      </c>
      <c r="E261">
        <v>22</v>
      </c>
      <c r="F261">
        <v>68</v>
      </c>
    </row>
    <row r="262" spans="1:6" x14ac:dyDescent="0.25">
      <c r="A262" t="s">
        <v>44</v>
      </c>
      <c r="B262" t="s">
        <v>79</v>
      </c>
      <c r="C262">
        <v>18.13</v>
      </c>
      <c r="D262">
        <v>6704</v>
      </c>
      <c r="E262">
        <v>22</v>
      </c>
      <c r="F262">
        <v>66</v>
      </c>
    </row>
    <row r="263" spans="1:6" s="2" customFormat="1" ht="14.25" x14ac:dyDescent="0.2"/>
    <row r="264" spans="1:6" s="2" customFormat="1" ht="14.25" x14ac:dyDescent="0.2">
      <c r="B264" s="2" t="s">
        <v>116</v>
      </c>
      <c r="C264" s="2">
        <f>AVERAGE(C257:C262)</f>
        <v>18.168333333333333</v>
      </c>
      <c r="D264" s="2">
        <f t="shared" ref="D264:F264" si="27">AVERAGE(D257:D262)</f>
        <v>6492.666666666667</v>
      </c>
      <c r="E264" s="2">
        <f t="shared" si="27"/>
        <v>22</v>
      </c>
      <c r="F264" s="2">
        <f t="shared" si="27"/>
        <v>66.833333333333329</v>
      </c>
    </row>
    <row r="265" spans="1:6" s="2" customFormat="1" ht="14.25" x14ac:dyDescent="0.2"/>
    <row r="266" spans="1:6" x14ac:dyDescent="0.25">
      <c r="A266" t="s">
        <v>45</v>
      </c>
      <c r="B266" t="s">
        <v>79</v>
      </c>
      <c r="C266">
        <v>19.09</v>
      </c>
      <c r="D266">
        <v>6348</v>
      </c>
      <c r="E266">
        <v>22</v>
      </c>
      <c r="F266">
        <v>67</v>
      </c>
    </row>
    <row r="267" spans="1:6" x14ac:dyDescent="0.25">
      <c r="A267" t="s">
        <v>46</v>
      </c>
      <c r="B267" t="s">
        <v>79</v>
      </c>
      <c r="C267">
        <v>18.329999999999998</v>
      </c>
      <c r="D267">
        <v>6842</v>
      </c>
      <c r="E267">
        <v>22</v>
      </c>
      <c r="F267">
        <v>67</v>
      </c>
    </row>
    <row r="268" spans="1:6" x14ac:dyDescent="0.25">
      <c r="A268" t="s">
        <v>47</v>
      </c>
      <c r="B268" t="s">
        <v>79</v>
      </c>
      <c r="C268">
        <v>18.829999999999998</v>
      </c>
      <c r="D268">
        <v>6642</v>
      </c>
      <c r="E268">
        <v>22</v>
      </c>
      <c r="F268">
        <v>67</v>
      </c>
    </row>
    <row r="269" spans="1:6" x14ac:dyDescent="0.25">
      <c r="A269" t="s">
        <v>48</v>
      </c>
      <c r="B269" t="s">
        <v>79</v>
      </c>
      <c r="C269">
        <v>18.7</v>
      </c>
      <c r="D269">
        <v>6947</v>
      </c>
      <c r="E269">
        <v>22</v>
      </c>
      <c r="F269">
        <v>67</v>
      </c>
    </row>
    <row r="270" spans="1:6" x14ac:dyDescent="0.25">
      <c r="A270" t="s">
        <v>49</v>
      </c>
      <c r="B270" t="s">
        <v>79</v>
      </c>
      <c r="C270">
        <v>18.899999999999999</v>
      </c>
      <c r="D270">
        <v>6493</v>
      </c>
      <c r="E270">
        <v>22</v>
      </c>
      <c r="F270">
        <v>67</v>
      </c>
    </row>
    <row r="271" spans="1:6" x14ac:dyDescent="0.25">
      <c r="A271" t="s">
        <v>50</v>
      </c>
      <c r="B271" t="s">
        <v>79</v>
      </c>
      <c r="C271">
        <v>18.88</v>
      </c>
      <c r="D271">
        <v>6956</v>
      </c>
      <c r="E271">
        <v>22</v>
      </c>
      <c r="F271">
        <v>67</v>
      </c>
    </row>
    <row r="272" spans="1:6" s="2" customFormat="1" ht="14.25" x14ac:dyDescent="0.2"/>
    <row r="273" spans="1:6" s="2" customFormat="1" ht="14.25" x14ac:dyDescent="0.2">
      <c r="B273" s="2" t="s">
        <v>116</v>
      </c>
      <c r="C273" s="2">
        <f>AVERAGE(C266:C271)</f>
        <v>18.78833333333333</v>
      </c>
      <c r="D273" s="2">
        <f t="shared" ref="D273:F273" si="28">AVERAGE(D266:D271)</f>
        <v>6704.666666666667</v>
      </c>
      <c r="E273" s="2">
        <f t="shared" si="28"/>
        <v>22</v>
      </c>
      <c r="F273" s="2">
        <f t="shared" si="28"/>
        <v>67</v>
      </c>
    </row>
    <row r="274" spans="1:6" s="2" customFormat="1" ht="14.25" x14ac:dyDescent="0.2"/>
    <row r="275" spans="1:6" x14ac:dyDescent="0.25">
      <c r="A275" t="s">
        <v>51</v>
      </c>
      <c r="B275" t="s">
        <v>79</v>
      </c>
      <c r="C275">
        <v>19.39</v>
      </c>
      <c r="D275">
        <v>6924</v>
      </c>
      <c r="E275">
        <v>22</v>
      </c>
      <c r="F275">
        <v>66</v>
      </c>
    </row>
    <row r="276" spans="1:6" x14ac:dyDescent="0.25">
      <c r="A276" t="s">
        <v>52</v>
      </c>
      <c r="B276" t="s">
        <v>79</v>
      </c>
      <c r="C276">
        <v>18.84</v>
      </c>
      <c r="D276">
        <v>6509</v>
      </c>
      <c r="E276">
        <v>22</v>
      </c>
      <c r="F276">
        <v>66</v>
      </c>
    </row>
    <row r="277" spans="1:6" x14ac:dyDescent="0.25">
      <c r="A277" t="s">
        <v>53</v>
      </c>
      <c r="B277" t="s">
        <v>79</v>
      </c>
      <c r="C277">
        <v>18.75</v>
      </c>
      <c r="D277">
        <v>7228</v>
      </c>
      <c r="E277">
        <v>22</v>
      </c>
      <c r="F277">
        <v>66</v>
      </c>
    </row>
    <row r="278" spans="1:6" x14ac:dyDescent="0.25">
      <c r="A278" t="s">
        <v>54</v>
      </c>
      <c r="B278" t="s">
        <v>79</v>
      </c>
      <c r="C278">
        <v>18.690000000000001</v>
      </c>
      <c r="D278">
        <v>7070</v>
      </c>
      <c r="E278">
        <v>22</v>
      </c>
      <c r="F278">
        <v>66</v>
      </c>
    </row>
    <row r="279" spans="1:6" x14ac:dyDescent="0.25">
      <c r="A279" t="s">
        <v>55</v>
      </c>
      <c r="B279" t="s">
        <v>79</v>
      </c>
      <c r="C279">
        <v>18.23</v>
      </c>
      <c r="D279">
        <v>6351</v>
      </c>
      <c r="E279">
        <v>22</v>
      </c>
      <c r="F279">
        <v>66</v>
      </c>
    </row>
    <row r="280" spans="1:6" x14ac:dyDescent="0.25">
      <c r="A280" t="s">
        <v>56</v>
      </c>
      <c r="B280" t="s">
        <v>79</v>
      </c>
      <c r="C280">
        <v>18.78</v>
      </c>
      <c r="D280">
        <v>6485</v>
      </c>
      <c r="E280">
        <v>22</v>
      </c>
      <c r="F280">
        <v>66</v>
      </c>
    </row>
    <row r="281" spans="1:6" s="2" customFormat="1" ht="14.25" x14ac:dyDescent="0.2"/>
    <row r="282" spans="1:6" s="2" customFormat="1" ht="14.25" x14ac:dyDescent="0.2">
      <c r="B282" s="2" t="s">
        <v>116</v>
      </c>
      <c r="C282" s="2">
        <f>AVERAGE(C275:C280)</f>
        <v>18.78</v>
      </c>
      <c r="D282" s="2">
        <f t="shared" ref="D282:F282" si="29">AVERAGE(D275:D280)</f>
        <v>6761.166666666667</v>
      </c>
      <c r="E282" s="2">
        <f t="shared" si="29"/>
        <v>22</v>
      </c>
      <c r="F282" s="2">
        <f t="shared" si="29"/>
        <v>66</v>
      </c>
    </row>
    <row r="283" spans="1:6" s="2" customFormat="1" ht="14.25" x14ac:dyDescent="0.2"/>
    <row r="284" spans="1:6" x14ac:dyDescent="0.25">
      <c r="A284" t="s">
        <v>57</v>
      </c>
      <c r="B284" t="s">
        <v>79</v>
      </c>
      <c r="C284">
        <v>19.260000000000002</v>
      </c>
      <c r="D284">
        <v>4939</v>
      </c>
      <c r="E284">
        <v>22</v>
      </c>
      <c r="F284">
        <v>67</v>
      </c>
    </row>
    <row r="285" spans="1:6" x14ac:dyDescent="0.25">
      <c r="A285" t="s">
        <v>58</v>
      </c>
      <c r="B285" t="s">
        <v>79</v>
      </c>
      <c r="C285">
        <v>20.52</v>
      </c>
      <c r="D285">
        <v>5500</v>
      </c>
      <c r="E285">
        <v>22</v>
      </c>
      <c r="F285">
        <v>68</v>
      </c>
    </row>
    <row r="286" spans="1:6" x14ac:dyDescent="0.25">
      <c r="A286" t="s">
        <v>59</v>
      </c>
      <c r="B286" t="s">
        <v>79</v>
      </c>
      <c r="C286">
        <v>20.059999999999999</v>
      </c>
      <c r="D286">
        <v>5606</v>
      </c>
      <c r="E286">
        <v>19</v>
      </c>
      <c r="F286">
        <v>68</v>
      </c>
    </row>
    <row r="287" spans="1:6" x14ac:dyDescent="0.25">
      <c r="A287" t="s">
        <v>60</v>
      </c>
      <c r="B287" t="s">
        <v>79</v>
      </c>
      <c r="C287">
        <v>20.329999999999998</v>
      </c>
      <c r="D287">
        <v>5313</v>
      </c>
      <c r="E287">
        <v>22</v>
      </c>
      <c r="F287">
        <v>67</v>
      </c>
    </row>
    <row r="288" spans="1:6" x14ac:dyDescent="0.25">
      <c r="A288" t="s">
        <v>61</v>
      </c>
      <c r="B288" t="s">
        <v>79</v>
      </c>
      <c r="C288">
        <v>20.04</v>
      </c>
      <c r="D288">
        <v>5552</v>
      </c>
      <c r="E288">
        <v>22</v>
      </c>
      <c r="F288">
        <v>67</v>
      </c>
    </row>
    <row r="289" spans="1:6" x14ac:dyDescent="0.25">
      <c r="A289" t="s">
        <v>62</v>
      </c>
      <c r="B289" t="s">
        <v>79</v>
      </c>
      <c r="C289">
        <v>20.16</v>
      </c>
      <c r="D289">
        <v>5765</v>
      </c>
      <c r="E289">
        <v>22</v>
      </c>
      <c r="F289">
        <v>68</v>
      </c>
    </row>
    <row r="290" spans="1:6" s="2" customFormat="1" ht="14.25" x14ac:dyDescent="0.2"/>
    <row r="291" spans="1:6" s="2" customFormat="1" ht="14.25" x14ac:dyDescent="0.2">
      <c r="B291" s="2" t="s">
        <v>116</v>
      </c>
      <c r="C291" s="2">
        <f>AVERAGE(C284:C289)</f>
        <v>20.061666666666667</v>
      </c>
      <c r="D291" s="2">
        <f t="shared" ref="D291:F291" si="30">AVERAGE(D284:D289)</f>
        <v>5445.833333333333</v>
      </c>
      <c r="E291" s="2">
        <f t="shared" si="30"/>
        <v>21.5</v>
      </c>
      <c r="F291" s="2">
        <f t="shared" si="30"/>
        <v>67.5</v>
      </c>
    </row>
    <row r="292" spans="1:6" s="2" customFormat="1" ht="14.25" x14ac:dyDescent="0.2"/>
    <row r="293" spans="1:6" x14ac:dyDescent="0.25">
      <c r="A293" t="s">
        <v>63</v>
      </c>
      <c r="B293" t="s">
        <v>79</v>
      </c>
      <c r="C293">
        <v>20.04</v>
      </c>
      <c r="D293">
        <v>5044</v>
      </c>
      <c r="E293">
        <v>22</v>
      </c>
      <c r="F293">
        <v>66</v>
      </c>
    </row>
    <row r="294" spans="1:6" x14ac:dyDescent="0.25">
      <c r="A294" t="s">
        <v>64</v>
      </c>
      <c r="B294" t="s">
        <v>79</v>
      </c>
      <c r="C294">
        <v>20.100000000000001</v>
      </c>
      <c r="D294">
        <v>5642</v>
      </c>
      <c r="E294">
        <v>22</v>
      </c>
      <c r="F294">
        <v>65</v>
      </c>
    </row>
    <row r="295" spans="1:6" x14ac:dyDescent="0.25">
      <c r="A295" t="s">
        <v>65</v>
      </c>
      <c r="B295" t="s">
        <v>79</v>
      </c>
      <c r="C295">
        <v>20.83</v>
      </c>
      <c r="D295">
        <v>5490</v>
      </c>
      <c r="E295">
        <v>22</v>
      </c>
      <c r="F295">
        <v>66</v>
      </c>
    </row>
    <row r="296" spans="1:6" x14ac:dyDescent="0.25">
      <c r="A296" t="s">
        <v>66</v>
      </c>
      <c r="B296" t="s">
        <v>79</v>
      </c>
      <c r="C296">
        <v>20.43</v>
      </c>
      <c r="D296">
        <v>5712</v>
      </c>
      <c r="E296">
        <v>22</v>
      </c>
      <c r="F296">
        <v>66</v>
      </c>
    </row>
    <row r="297" spans="1:6" x14ac:dyDescent="0.25">
      <c r="A297" t="s">
        <v>67</v>
      </c>
      <c r="B297" t="s">
        <v>79</v>
      </c>
      <c r="C297">
        <v>19.93</v>
      </c>
      <c r="D297">
        <v>5853</v>
      </c>
      <c r="E297">
        <v>22</v>
      </c>
      <c r="F297">
        <v>67</v>
      </c>
    </row>
    <row r="298" spans="1:6" x14ac:dyDescent="0.25">
      <c r="A298" t="s">
        <v>68</v>
      </c>
      <c r="B298" t="s">
        <v>79</v>
      </c>
      <c r="C298">
        <v>20.309999999999999</v>
      </c>
      <c r="D298">
        <v>5451</v>
      </c>
      <c r="E298">
        <v>22</v>
      </c>
      <c r="F298">
        <v>64</v>
      </c>
    </row>
    <row r="299" spans="1:6" s="2" customFormat="1" ht="14.25" x14ac:dyDescent="0.2"/>
    <row r="300" spans="1:6" s="2" customFormat="1" ht="14.25" x14ac:dyDescent="0.2">
      <c r="B300" s="2" t="s">
        <v>116</v>
      </c>
      <c r="C300" s="2">
        <f>AVERAGE(C293:C298)</f>
        <v>20.273333333333337</v>
      </c>
      <c r="D300" s="2">
        <f t="shared" ref="D300:F300" si="31">AVERAGE(D293:D298)</f>
        <v>5532</v>
      </c>
      <c r="E300" s="2">
        <f t="shared" si="31"/>
        <v>22</v>
      </c>
      <c r="F300" s="2">
        <f t="shared" si="31"/>
        <v>65.666666666666671</v>
      </c>
    </row>
    <row r="301" spans="1:6" s="2" customFormat="1" ht="14.25" x14ac:dyDescent="0.2"/>
    <row r="302" spans="1:6" x14ac:dyDescent="0.25">
      <c r="A302" t="s">
        <v>69</v>
      </c>
      <c r="B302" t="s">
        <v>79</v>
      </c>
      <c r="C302">
        <v>19.93</v>
      </c>
      <c r="D302">
        <v>5915</v>
      </c>
      <c r="E302">
        <v>22</v>
      </c>
      <c r="F302">
        <v>67</v>
      </c>
    </row>
    <row r="303" spans="1:6" x14ac:dyDescent="0.25">
      <c r="A303" t="s">
        <v>70</v>
      </c>
      <c r="B303" t="s">
        <v>79</v>
      </c>
      <c r="C303">
        <v>19.66</v>
      </c>
      <c r="D303">
        <v>5456</v>
      </c>
      <c r="E303">
        <v>23</v>
      </c>
      <c r="F303">
        <v>67</v>
      </c>
    </row>
    <row r="304" spans="1:6" x14ac:dyDescent="0.25">
      <c r="A304" t="s">
        <v>71</v>
      </c>
      <c r="B304" t="s">
        <v>79</v>
      </c>
      <c r="C304">
        <v>20.02</v>
      </c>
      <c r="D304">
        <v>5636</v>
      </c>
      <c r="E304">
        <v>23</v>
      </c>
      <c r="F304">
        <v>67</v>
      </c>
    </row>
    <row r="305" spans="1:6" x14ac:dyDescent="0.25">
      <c r="A305" t="s">
        <v>72</v>
      </c>
      <c r="B305" t="s">
        <v>79</v>
      </c>
      <c r="C305">
        <v>19.72</v>
      </c>
      <c r="D305">
        <v>5628</v>
      </c>
      <c r="E305">
        <v>23</v>
      </c>
      <c r="F305">
        <v>66</v>
      </c>
    </row>
    <row r="306" spans="1:6" x14ac:dyDescent="0.25">
      <c r="A306" t="s">
        <v>73</v>
      </c>
      <c r="B306" t="s">
        <v>79</v>
      </c>
      <c r="C306">
        <v>19.809999999999999</v>
      </c>
      <c r="D306">
        <v>5256</v>
      </c>
      <c r="E306">
        <v>22</v>
      </c>
      <c r="F306">
        <v>68</v>
      </c>
    </row>
    <row r="307" spans="1:6" x14ac:dyDescent="0.25">
      <c r="A307" t="s">
        <v>74</v>
      </c>
      <c r="B307" t="s">
        <v>79</v>
      </c>
      <c r="C307">
        <v>20.25</v>
      </c>
      <c r="D307">
        <v>5647</v>
      </c>
      <c r="E307">
        <v>22</v>
      </c>
      <c r="F307">
        <v>68</v>
      </c>
    </row>
    <row r="308" spans="1:6" s="2" customFormat="1" ht="14.25" x14ac:dyDescent="0.2"/>
    <row r="309" spans="1:6" s="2" customFormat="1" ht="14.25" x14ac:dyDescent="0.2">
      <c r="B309" s="2" t="s">
        <v>116</v>
      </c>
      <c r="C309" s="2">
        <f>AVERAGE(C302:C307)</f>
        <v>19.898333333333333</v>
      </c>
      <c r="D309" s="2">
        <f t="shared" ref="D309:F309" si="32">AVERAGE(D302:D307)</f>
        <v>5589.666666666667</v>
      </c>
      <c r="E309" s="2">
        <f t="shared" si="32"/>
        <v>22.5</v>
      </c>
      <c r="F309" s="2">
        <f t="shared" si="32"/>
        <v>67.166666666666671</v>
      </c>
    </row>
    <row r="310" spans="1:6" s="2" customFormat="1" ht="14.25" x14ac:dyDescent="0.2"/>
    <row r="313" spans="1:6" x14ac:dyDescent="0.25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</row>
    <row r="314" spans="1:6" x14ac:dyDescent="0.25">
      <c r="A314" s="1" t="s">
        <v>77</v>
      </c>
      <c r="B314" t="s">
        <v>7</v>
      </c>
      <c r="C314" t="s">
        <v>8</v>
      </c>
      <c r="D314" t="s">
        <v>7</v>
      </c>
    </row>
    <row r="316" spans="1:6" x14ac:dyDescent="0.25">
      <c r="A316" t="s">
        <v>9</v>
      </c>
      <c r="B316" t="s">
        <v>79</v>
      </c>
      <c r="C316">
        <v>20.420000000000002</v>
      </c>
      <c r="D316">
        <v>4444</v>
      </c>
      <c r="E316">
        <v>22</v>
      </c>
      <c r="F316">
        <v>70</v>
      </c>
    </row>
    <row r="317" spans="1:6" x14ac:dyDescent="0.25">
      <c r="A317" t="s">
        <v>10</v>
      </c>
      <c r="B317" t="s">
        <v>79</v>
      </c>
      <c r="C317">
        <v>20.34</v>
      </c>
      <c r="D317">
        <v>3953</v>
      </c>
      <c r="E317">
        <v>22</v>
      </c>
      <c r="F317">
        <v>71</v>
      </c>
    </row>
    <row r="318" spans="1:6" x14ac:dyDescent="0.25">
      <c r="A318" t="s">
        <v>11</v>
      </c>
      <c r="B318" t="s">
        <v>79</v>
      </c>
      <c r="C318">
        <v>20.99</v>
      </c>
      <c r="D318">
        <v>3868</v>
      </c>
      <c r="E318">
        <v>22</v>
      </c>
      <c r="F318">
        <v>71</v>
      </c>
    </row>
    <row r="319" spans="1:6" x14ac:dyDescent="0.25">
      <c r="A319" t="s">
        <v>12</v>
      </c>
      <c r="B319" t="s">
        <v>79</v>
      </c>
      <c r="C319">
        <v>21.35</v>
      </c>
      <c r="D319">
        <v>4079</v>
      </c>
      <c r="E319">
        <v>21</v>
      </c>
      <c r="F319">
        <v>69</v>
      </c>
    </row>
    <row r="320" spans="1:6" x14ac:dyDescent="0.25">
      <c r="A320" t="s">
        <v>13</v>
      </c>
      <c r="B320" t="s">
        <v>79</v>
      </c>
      <c r="C320">
        <v>20.100000000000001</v>
      </c>
      <c r="D320">
        <v>4382</v>
      </c>
      <c r="E320">
        <v>22</v>
      </c>
      <c r="F320">
        <v>75</v>
      </c>
    </row>
    <row r="321" spans="1:6" x14ac:dyDescent="0.25">
      <c r="A321" t="s">
        <v>14</v>
      </c>
      <c r="B321" t="s">
        <v>79</v>
      </c>
      <c r="C321">
        <v>20.91</v>
      </c>
      <c r="D321">
        <v>4254</v>
      </c>
      <c r="E321">
        <v>22</v>
      </c>
      <c r="F321">
        <v>70</v>
      </c>
    </row>
    <row r="322" spans="1:6" s="2" customFormat="1" ht="14.25" x14ac:dyDescent="0.2"/>
    <row r="323" spans="1:6" s="2" customFormat="1" ht="14.25" x14ac:dyDescent="0.2">
      <c r="B323" s="2" t="s">
        <v>116</v>
      </c>
      <c r="C323" s="2">
        <f>AVERAGE(C316:C321)</f>
        <v>20.684999999999999</v>
      </c>
      <c r="D323" s="2">
        <f t="shared" ref="D323:F323" si="33">AVERAGE(D316:D321)</f>
        <v>4163.333333333333</v>
      </c>
      <c r="E323" s="2">
        <f t="shared" si="33"/>
        <v>21.833333333333332</v>
      </c>
      <c r="F323" s="2">
        <f t="shared" si="33"/>
        <v>71</v>
      </c>
    </row>
    <row r="324" spans="1:6" s="2" customFormat="1" ht="14.25" x14ac:dyDescent="0.2"/>
    <row r="325" spans="1:6" x14ac:dyDescent="0.25">
      <c r="A325" t="s">
        <v>15</v>
      </c>
      <c r="B325" t="s">
        <v>79</v>
      </c>
      <c r="C325">
        <v>20.72</v>
      </c>
      <c r="D325">
        <v>3871</v>
      </c>
      <c r="E325">
        <v>22</v>
      </c>
      <c r="F325">
        <v>69</v>
      </c>
    </row>
    <row r="326" spans="1:6" x14ac:dyDescent="0.25">
      <c r="A326" t="s">
        <v>16</v>
      </c>
      <c r="B326" t="s">
        <v>79</v>
      </c>
      <c r="C326">
        <v>21.2</v>
      </c>
      <c r="D326">
        <v>4350</v>
      </c>
      <c r="E326">
        <v>22</v>
      </c>
      <c r="F326">
        <v>69</v>
      </c>
    </row>
    <row r="327" spans="1:6" x14ac:dyDescent="0.25">
      <c r="A327" t="s">
        <v>17</v>
      </c>
      <c r="B327" t="s">
        <v>79</v>
      </c>
      <c r="C327">
        <v>20.39</v>
      </c>
      <c r="D327">
        <v>3958</v>
      </c>
      <c r="E327">
        <v>22</v>
      </c>
      <c r="F327">
        <v>68</v>
      </c>
    </row>
    <row r="328" spans="1:6" x14ac:dyDescent="0.25">
      <c r="A328" t="s">
        <v>18</v>
      </c>
      <c r="B328" t="s">
        <v>79</v>
      </c>
      <c r="C328">
        <v>20.92</v>
      </c>
      <c r="D328">
        <v>4348</v>
      </c>
      <c r="E328">
        <v>22</v>
      </c>
      <c r="F328">
        <v>68</v>
      </c>
    </row>
    <row r="329" spans="1:6" x14ac:dyDescent="0.25">
      <c r="A329" t="s">
        <v>19</v>
      </c>
      <c r="B329" t="s">
        <v>79</v>
      </c>
      <c r="C329">
        <v>20.71</v>
      </c>
      <c r="D329">
        <v>4386</v>
      </c>
      <c r="E329">
        <v>22</v>
      </c>
      <c r="F329">
        <v>68</v>
      </c>
    </row>
    <row r="330" spans="1:6" x14ac:dyDescent="0.25">
      <c r="A330" t="s">
        <v>20</v>
      </c>
      <c r="B330" t="s">
        <v>79</v>
      </c>
      <c r="C330">
        <v>21.02</v>
      </c>
      <c r="D330">
        <v>4190</v>
      </c>
      <c r="E330">
        <v>22</v>
      </c>
      <c r="F330">
        <v>69</v>
      </c>
    </row>
    <row r="331" spans="1:6" s="2" customFormat="1" ht="14.25" x14ac:dyDescent="0.2"/>
    <row r="332" spans="1:6" s="2" customFormat="1" ht="14.25" x14ac:dyDescent="0.2">
      <c r="B332" s="2" t="s">
        <v>116</v>
      </c>
      <c r="C332" s="2">
        <f>AVERAGE(C325:C330)</f>
        <v>20.826666666666664</v>
      </c>
      <c r="D332" s="2">
        <f t="shared" ref="D332:F332" si="34">AVERAGE(D325:D330)</f>
        <v>4183.833333333333</v>
      </c>
      <c r="E332" s="2">
        <f t="shared" si="34"/>
        <v>22</v>
      </c>
      <c r="F332" s="2">
        <f t="shared" si="34"/>
        <v>68.5</v>
      </c>
    </row>
    <row r="333" spans="1:6" s="2" customFormat="1" ht="14.25" x14ac:dyDescent="0.2"/>
    <row r="334" spans="1:6" x14ac:dyDescent="0.25">
      <c r="A334" t="s">
        <v>21</v>
      </c>
      <c r="B334" t="s">
        <v>79</v>
      </c>
      <c r="C334">
        <v>21.94</v>
      </c>
      <c r="D334">
        <v>3899</v>
      </c>
      <c r="E334">
        <v>22</v>
      </c>
      <c r="F334">
        <v>67</v>
      </c>
    </row>
    <row r="335" spans="1:6" x14ac:dyDescent="0.25">
      <c r="A335" t="s">
        <v>22</v>
      </c>
      <c r="B335" t="s">
        <v>79</v>
      </c>
      <c r="C335">
        <v>22.25</v>
      </c>
      <c r="D335">
        <v>3533</v>
      </c>
      <c r="E335">
        <v>22</v>
      </c>
      <c r="F335">
        <v>67</v>
      </c>
    </row>
    <row r="336" spans="1:6" x14ac:dyDescent="0.25">
      <c r="A336" t="s">
        <v>23</v>
      </c>
      <c r="B336" t="s">
        <v>79</v>
      </c>
      <c r="C336">
        <v>22.46</v>
      </c>
      <c r="D336">
        <v>4358</v>
      </c>
      <c r="E336">
        <v>22</v>
      </c>
      <c r="F336">
        <v>70</v>
      </c>
    </row>
    <row r="337" spans="1:6" x14ac:dyDescent="0.25">
      <c r="A337" t="s">
        <v>24</v>
      </c>
      <c r="B337" t="s">
        <v>79</v>
      </c>
      <c r="C337">
        <v>20.77</v>
      </c>
      <c r="D337">
        <v>4539</v>
      </c>
      <c r="E337">
        <v>22</v>
      </c>
      <c r="F337">
        <v>68</v>
      </c>
    </row>
    <row r="338" spans="1:6" x14ac:dyDescent="0.25">
      <c r="A338" t="s">
        <v>25</v>
      </c>
      <c r="B338" t="s">
        <v>79</v>
      </c>
      <c r="C338">
        <v>21.89</v>
      </c>
      <c r="D338">
        <v>3930</v>
      </c>
      <c r="E338">
        <v>22</v>
      </c>
      <c r="F338">
        <v>68</v>
      </c>
    </row>
    <row r="339" spans="1:6" x14ac:dyDescent="0.25">
      <c r="A339" t="s">
        <v>26</v>
      </c>
      <c r="B339" t="s">
        <v>79</v>
      </c>
      <c r="C339">
        <v>20.89</v>
      </c>
      <c r="D339">
        <v>4707</v>
      </c>
      <c r="E339">
        <v>22</v>
      </c>
      <c r="F339">
        <v>67</v>
      </c>
    </row>
    <row r="340" spans="1:6" s="2" customFormat="1" ht="14.25" x14ac:dyDescent="0.2"/>
    <row r="341" spans="1:6" s="2" customFormat="1" ht="14.25" x14ac:dyDescent="0.2">
      <c r="B341" s="2" t="s">
        <v>116</v>
      </c>
      <c r="C341" s="2">
        <f>AVERAGE(C334:C339)</f>
        <v>21.7</v>
      </c>
      <c r="D341" s="2">
        <f t="shared" ref="D341:F341" si="35">AVERAGE(D334:D339)</f>
        <v>4161</v>
      </c>
      <c r="E341" s="2">
        <f t="shared" si="35"/>
        <v>22</v>
      </c>
      <c r="F341" s="2">
        <f t="shared" si="35"/>
        <v>67.833333333333329</v>
      </c>
    </row>
    <row r="342" spans="1:6" s="2" customFormat="1" ht="14.25" x14ac:dyDescent="0.2"/>
    <row r="343" spans="1:6" x14ac:dyDescent="0.25">
      <c r="A343" t="s">
        <v>27</v>
      </c>
      <c r="B343" t="s">
        <v>79</v>
      </c>
      <c r="C343">
        <v>22.18</v>
      </c>
      <c r="D343">
        <v>3873</v>
      </c>
      <c r="E343">
        <v>22</v>
      </c>
      <c r="F343">
        <v>66</v>
      </c>
    </row>
    <row r="344" spans="1:6" x14ac:dyDescent="0.25">
      <c r="A344" t="s">
        <v>28</v>
      </c>
      <c r="B344" t="s">
        <v>79</v>
      </c>
      <c r="C344">
        <v>22.48</v>
      </c>
      <c r="D344">
        <v>3998</v>
      </c>
      <c r="E344">
        <v>22</v>
      </c>
      <c r="F344">
        <v>68</v>
      </c>
    </row>
    <row r="345" spans="1:6" x14ac:dyDescent="0.25">
      <c r="A345" t="s">
        <v>29</v>
      </c>
      <c r="B345" t="s">
        <v>79</v>
      </c>
      <c r="C345">
        <v>22.33</v>
      </c>
      <c r="D345">
        <v>3428</v>
      </c>
      <c r="E345">
        <v>22</v>
      </c>
      <c r="F345">
        <v>67</v>
      </c>
    </row>
    <row r="346" spans="1:6" x14ac:dyDescent="0.25">
      <c r="A346" t="s">
        <v>30</v>
      </c>
      <c r="B346" t="s">
        <v>79</v>
      </c>
      <c r="C346">
        <v>22.74</v>
      </c>
      <c r="D346">
        <v>3544</v>
      </c>
      <c r="E346">
        <v>22</v>
      </c>
      <c r="F346">
        <v>68</v>
      </c>
    </row>
    <row r="347" spans="1:6" x14ac:dyDescent="0.25">
      <c r="A347" t="s">
        <v>31</v>
      </c>
      <c r="B347" t="s">
        <v>79</v>
      </c>
      <c r="C347">
        <v>21.7</v>
      </c>
      <c r="D347">
        <v>3722</v>
      </c>
      <c r="E347">
        <v>22</v>
      </c>
      <c r="F347">
        <v>68</v>
      </c>
    </row>
    <row r="348" spans="1:6" x14ac:dyDescent="0.25">
      <c r="A348" t="s">
        <v>32</v>
      </c>
      <c r="B348" t="s">
        <v>79</v>
      </c>
      <c r="C348">
        <v>22.36</v>
      </c>
      <c r="D348">
        <v>3568</v>
      </c>
      <c r="E348">
        <v>22</v>
      </c>
      <c r="F348">
        <v>68</v>
      </c>
    </row>
    <row r="349" spans="1:6" s="2" customFormat="1" ht="14.25" x14ac:dyDescent="0.2"/>
    <row r="350" spans="1:6" s="2" customFormat="1" ht="14.25" x14ac:dyDescent="0.2">
      <c r="B350" s="2" t="s">
        <v>116</v>
      </c>
      <c r="C350" s="2">
        <f>AVERAGE(C343:C348)</f>
        <v>22.298333333333332</v>
      </c>
      <c r="D350" s="2">
        <f t="shared" ref="D350:F350" si="36">AVERAGE(D343:D348)</f>
        <v>3688.8333333333335</v>
      </c>
      <c r="E350" s="2">
        <f t="shared" si="36"/>
        <v>22</v>
      </c>
      <c r="F350" s="2">
        <f t="shared" si="36"/>
        <v>67.5</v>
      </c>
    </row>
    <row r="351" spans="1:6" s="2" customFormat="1" ht="14.25" x14ac:dyDescent="0.2"/>
    <row r="352" spans="1:6" x14ac:dyDescent="0.25">
      <c r="A352" t="s">
        <v>33</v>
      </c>
      <c r="B352" t="s">
        <v>79</v>
      </c>
      <c r="C352">
        <v>18.62</v>
      </c>
      <c r="D352">
        <v>6816</v>
      </c>
      <c r="E352">
        <v>22</v>
      </c>
      <c r="F352">
        <v>66</v>
      </c>
    </row>
    <row r="353" spans="1:6" x14ac:dyDescent="0.25">
      <c r="A353" t="s">
        <v>34</v>
      </c>
      <c r="B353" t="s">
        <v>79</v>
      </c>
      <c r="C353">
        <v>18.97</v>
      </c>
      <c r="D353">
        <v>6409</v>
      </c>
      <c r="E353">
        <v>22</v>
      </c>
      <c r="F353">
        <v>67</v>
      </c>
    </row>
    <row r="354" spans="1:6" x14ac:dyDescent="0.25">
      <c r="A354" t="s">
        <v>35</v>
      </c>
      <c r="B354" t="s">
        <v>79</v>
      </c>
      <c r="C354">
        <v>18.84</v>
      </c>
      <c r="D354">
        <v>6271</v>
      </c>
      <c r="E354">
        <v>22</v>
      </c>
      <c r="F354">
        <v>69</v>
      </c>
    </row>
    <row r="355" spans="1:6" x14ac:dyDescent="0.25">
      <c r="A355" t="s">
        <v>36</v>
      </c>
      <c r="B355" t="s">
        <v>79</v>
      </c>
      <c r="C355">
        <v>19</v>
      </c>
      <c r="D355">
        <v>6516</v>
      </c>
      <c r="E355">
        <v>22</v>
      </c>
      <c r="F355">
        <v>67</v>
      </c>
    </row>
    <row r="356" spans="1:6" x14ac:dyDescent="0.25">
      <c r="A356" t="s">
        <v>37</v>
      </c>
      <c r="B356" t="s">
        <v>79</v>
      </c>
      <c r="C356">
        <v>19.55</v>
      </c>
      <c r="D356">
        <v>5699</v>
      </c>
      <c r="E356">
        <v>22</v>
      </c>
      <c r="F356">
        <v>62</v>
      </c>
    </row>
    <row r="357" spans="1:6" x14ac:dyDescent="0.25">
      <c r="A357" t="s">
        <v>38</v>
      </c>
      <c r="B357" t="s">
        <v>79</v>
      </c>
      <c r="C357">
        <v>18.920000000000002</v>
      </c>
      <c r="D357">
        <v>5473</v>
      </c>
      <c r="E357">
        <v>22</v>
      </c>
      <c r="F357">
        <v>67</v>
      </c>
    </row>
    <row r="358" spans="1:6" s="2" customFormat="1" ht="14.25" x14ac:dyDescent="0.2"/>
    <row r="359" spans="1:6" s="2" customFormat="1" ht="14.25" x14ac:dyDescent="0.2">
      <c r="B359" s="2" t="s">
        <v>116</v>
      </c>
      <c r="C359" s="2">
        <f>AVERAGE(C352:C357)</f>
        <v>18.983333333333334</v>
      </c>
      <c r="D359" s="2">
        <f t="shared" ref="D359:F359" si="37">AVERAGE(D352:D357)</f>
        <v>6197.333333333333</v>
      </c>
      <c r="E359" s="2">
        <f t="shared" si="37"/>
        <v>22</v>
      </c>
      <c r="F359" s="2">
        <f t="shared" si="37"/>
        <v>66.333333333333329</v>
      </c>
    </row>
    <row r="360" spans="1:6" s="2" customFormat="1" ht="14.25" x14ac:dyDescent="0.2"/>
    <row r="361" spans="1:6" x14ac:dyDescent="0.25">
      <c r="A361" t="s">
        <v>39</v>
      </c>
      <c r="B361" t="s">
        <v>79</v>
      </c>
      <c r="C361">
        <v>16.899999999999999</v>
      </c>
      <c r="D361">
        <v>6895</v>
      </c>
      <c r="E361">
        <v>22</v>
      </c>
      <c r="F361">
        <v>66</v>
      </c>
    </row>
    <row r="362" spans="1:6" x14ac:dyDescent="0.25">
      <c r="A362" t="s">
        <v>40</v>
      </c>
      <c r="B362" t="s">
        <v>79</v>
      </c>
      <c r="C362">
        <v>17.37</v>
      </c>
      <c r="D362">
        <v>6680</v>
      </c>
      <c r="E362">
        <v>22</v>
      </c>
      <c r="F362">
        <v>68</v>
      </c>
    </row>
    <row r="363" spans="1:6" x14ac:dyDescent="0.25">
      <c r="A363" t="s">
        <v>41</v>
      </c>
      <c r="B363" t="s">
        <v>79</v>
      </c>
      <c r="C363">
        <v>17.48</v>
      </c>
      <c r="D363">
        <v>6887</v>
      </c>
      <c r="E363">
        <v>22</v>
      </c>
      <c r="F363">
        <v>67</v>
      </c>
    </row>
    <row r="364" spans="1:6" x14ac:dyDescent="0.25">
      <c r="A364" t="s">
        <v>42</v>
      </c>
      <c r="B364" t="s">
        <v>79</v>
      </c>
      <c r="C364">
        <v>18.03</v>
      </c>
      <c r="D364">
        <v>6248</v>
      </c>
      <c r="E364">
        <v>22</v>
      </c>
      <c r="F364">
        <v>67</v>
      </c>
    </row>
    <row r="365" spans="1:6" x14ac:dyDescent="0.25">
      <c r="A365" t="s">
        <v>43</v>
      </c>
      <c r="B365" t="s">
        <v>79</v>
      </c>
      <c r="C365">
        <v>18.100000000000001</v>
      </c>
      <c r="D365">
        <v>7017</v>
      </c>
      <c r="E365">
        <v>22</v>
      </c>
      <c r="F365">
        <v>69</v>
      </c>
    </row>
    <row r="366" spans="1:6" x14ac:dyDescent="0.25">
      <c r="A366" t="s">
        <v>44</v>
      </c>
      <c r="B366" t="s">
        <v>79</v>
      </c>
      <c r="C366">
        <v>18.18</v>
      </c>
      <c r="D366">
        <v>6678</v>
      </c>
      <c r="E366">
        <v>22</v>
      </c>
      <c r="F366">
        <v>62</v>
      </c>
    </row>
    <row r="367" spans="1:6" s="2" customFormat="1" ht="14.25" x14ac:dyDescent="0.2"/>
    <row r="368" spans="1:6" s="2" customFormat="1" ht="14.25" x14ac:dyDescent="0.2">
      <c r="B368" s="2" t="s">
        <v>116</v>
      </c>
      <c r="C368" s="2">
        <f>AVERAGE(C361:C366)</f>
        <v>17.676666666666666</v>
      </c>
      <c r="D368" s="2">
        <f t="shared" ref="D368:F368" si="38">AVERAGE(D361:D366)</f>
        <v>6734.166666666667</v>
      </c>
      <c r="E368" s="2">
        <f t="shared" si="38"/>
        <v>22</v>
      </c>
      <c r="F368" s="2">
        <f t="shared" si="38"/>
        <v>66.5</v>
      </c>
    </row>
    <row r="369" spans="1:6" s="2" customFormat="1" ht="14.25" x14ac:dyDescent="0.2"/>
    <row r="370" spans="1:6" x14ac:dyDescent="0.25">
      <c r="A370" t="s">
        <v>45</v>
      </c>
      <c r="B370" t="s">
        <v>79</v>
      </c>
      <c r="C370">
        <v>18.27</v>
      </c>
      <c r="D370">
        <v>6639</v>
      </c>
      <c r="E370">
        <v>22</v>
      </c>
      <c r="F370">
        <v>68</v>
      </c>
    </row>
    <row r="371" spans="1:6" x14ac:dyDescent="0.25">
      <c r="A371" t="s">
        <v>46</v>
      </c>
      <c r="B371" t="s">
        <v>79</v>
      </c>
      <c r="C371">
        <v>17.91</v>
      </c>
      <c r="D371">
        <v>6393</v>
      </c>
      <c r="E371">
        <v>22</v>
      </c>
      <c r="F371">
        <v>66</v>
      </c>
    </row>
    <row r="372" spans="1:6" x14ac:dyDescent="0.25">
      <c r="A372" t="s">
        <v>47</v>
      </c>
      <c r="B372" t="s">
        <v>79</v>
      </c>
      <c r="C372">
        <v>18.23</v>
      </c>
      <c r="D372">
        <v>6173</v>
      </c>
      <c r="E372">
        <v>22</v>
      </c>
      <c r="F372">
        <v>67</v>
      </c>
    </row>
    <row r="373" spans="1:6" x14ac:dyDescent="0.25">
      <c r="A373" t="s">
        <v>48</v>
      </c>
      <c r="B373" t="s">
        <v>79</v>
      </c>
      <c r="C373">
        <v>18.37</v>
      </c>
      <c r="D373">
        <v>7099</v>
      </c>
      <c r="E373">
        <v>22</v>
      </c>
      <c r="F373">
        <v>67</v>
      </c>
    </row>
    <row r="374" spans="1:6" x14ac:dyDescent="0.25">
      <c r="A374" t="s">
        <v>49</v>
      </c>
      <c r="B374" t="s">
        <v>79</v>
      </c>
      <c r="C374">
        <v>19.239999999999998</v>
      </c>
      <c r="D374">
        <v>6804</v>
      </c>
      <c r="E374">
        <v>22</v>
      </c>
      <c r="F374">
        <v>66</v>
      </c>
    </row>
    <row r="375" spans="1:6" x14ac:dyDescent="0.25">
      <c r="A375" t="s">
        <v>50</v>
      </c>
      <c r="B375" t="s">
        <v>79</v>
      </c>
      <c r="C375">
        <v>18.93</v>
      </c>
      <c r="D375">
        <v>6734</v>
      </c>
      <c r="E375">
        <v>22</v>
      </c>
      <c r="F375">
        <v>66</v>
      </c>
    </row>
    <row r="376" spans="1:6" s="2" customFormat="1" ht="14.25" x14ac:dyDescent="0.2"/>
    <row r="377" spans="1:6" s="2" customFormat="1" ht="14.25" x14ac:dyDescent="0.2">
      <c r="B377" s="2" t="s">
        <v>116</v>
      </c>
      <c r="C377" s="2">
        <f>AVERAGE(C370:C375)</f>
        <v>18.491666666666664</v>
      </c>
      <c r="D377" s="2">
        <f t="shared" ref="D377:F377" si="39">AVERAGE(D370:D375)</f>
        <v>6640.333333333333</v>
      </c>
      <c r="E377" s="2">
        <f t="shared" si="39"/>
        <v>22</v>
      </c>
      <c r="F377" s="2">
        <f t="shared" si="39"/>
        <v>66.666666666666671</v>
      </c>
    </row>
    <row r="378" spans="1:6" s="2" customFormat="1" ht="14.25" x14ac:dyDescent="0.2"/>
    <row r="379" spans="1:6" x14ac:dyDescent="0.25">
      <c r="A379" t="s">
        <v>51</v>
      </c>
      <c r="B379" t="s">
        <v>79</v>
      </c>
      <c r="C379">
        <v>18.5</v>
      </c>
      <c r="D379">
        <v>5844</v>
      </c>
      <c r="E379">
        <v>23</v>
      </c>
      <c r="F379">
        <v>66</v>
      </c>
    </row>
    <row r="380" spans="1:6" x14ac:dyDescent="0.25">
      <c r="A380" t="s">
        <v>52</v>
      </c>
      <c r="B380" t="s">
        <v>79</v>
      </c>
      <c r="C380">
        <v>18.98</v>
      </c>
      <c r="D380">
        <v>6291</v>
      </c>
      <c r="E380">
        <v>22</v>
      </c>
      <c r="F380">
        <v>64</v>
      </c>
    </row>
    <row r="381" spans="1:6" x14ac:dyDescent="0.25">
      <c r="A381" t="s">
        <v>53</v>
      </c>
      <c r="B381" t="s">
        <v>79</v>
      </c>
      <c r="C381">
        <v>18.53</v>
      </c>
      <c r="D381">
        <v>5832</v>
      </c>
      <c r="E381">
        <v>23</v>
      </c>
      <c r="F381">
        <v>65</v>
      </c>
    </row>
    <row r="382" spans="1:6" x14ac:dyDescent="0.25">
      <c r="A382" t="s">
        <v>54</v>
      </c>
      <c r="B382" t="s">
        <v>79</v>
      </c>
      <c r="C382">
        <v>19.23</v>
      </c>
      <c r="D382">
        <v>6318</v>
      </c>
      <c r="E382">
        <v>22</v>
      </c>
      <c r="F382">
        <v>65</v>
      </c>
    </row>
    <row r="383" spans="1:6" x14ac:dyDescent="0.25">
      <c r="A383" t="s">
        <v>55</v>
      </c>
      <c r="B383" t="s">
        <v>79</v>
      </c>
      <c r="C383">
        <v>18.11</v>
      </c>
      <c r="D383">
        <v>6703</v>
      </c>
      <c r="E383">
        <v>22</v>
      </c>
      <c r="F383">
        <v>63</v>
      </c>
    </row>
    <row r="384" spans="1:6" x14ac:dyDescent="0.25">
      <c r="A384" t="s">
        <v>56</v>
      </c>
      <c r="B384" t="s">
        <v>79</v>
      </c>
      <c r="C384">
        <v>19.45</v>
      </c>
      <c r="D384">
        <v>6416</v>
      </c>
      <c r="E384">
        <v>23</v>
      </c>
      <c r="F384">
        <v>65</v>
      </c>
    </row>
    <row r="385" spans="1:6" s="2" customFormat="1" ht="14.25" x14ac:dyDescent="0.2"/>
    <row r="386" spans="1:6" s="2" customFormat="1" ht="14.25" x14ac:dyDescent="0.2">
      <c r="B386" s="2" t="s">
        <v>116</v>
      </c>
      <c r="C386" s="2">
        <f>AVERAGE(C379:C384)</f>
        <v>18.8</v>
      </c>
      <c r="D386" s="2">
        <f t="shared" ref="D386:F386" si="40">AVERAGE(D379:D384)</f>
        <v>6234</v>
      </c>
      <c r="E386" s="2">
        <f t="shared" si="40"/>
        <v>22.5</v>
      </c>
      <c r="F386" s="2">
        <f t="shared" si="40"/>
        <v>64.666666666666671</v>
      </c>
    </row>
    <row r="387" spans="1:6" s="2" customFormat="1" ht="14.25" x14ac:dyDescent="0.2"/>
    <row r="388" spans="1:6" x14ac:dyDescent="0.25">
      <c r="A388" t="s">
        <v>57</v>
      </c>
      <c r="B388" t="s">
        <v>79</v>
      </c>
      <c r="C388">
        <v>19.82</v>
      </c>
      <c r="D388">
        <v>5619</v>
      </c>
      <c r="E388">
        <v>22</v>
      </c>
      <c r="F388">
        <v>66</v>
      </c>
    </row>
    <row r="389" spans="1:6" x14ac:dyDescent="0.25">
      <c r="A389" t="s">
        <v>58</v>
      </c>
      <c r="B389" t="s">
        <v>79</v>
      </c>
      <c r="C389">
        <v>19.760000000000002</v>
      </c>
      <c r="D389">
        <v>5312</v>
      </c>
      <c r="E389">
        <v>22</v>
      </c>
      <c r="F389">
        <v>66</v>
      </c>
    </row>
    <row r="390" spans="1:6" x14ac:dyDescent="0.25">
      <c r="A390" t="s">
        <v>59</v>
      </c>
      <c r="B390" t="s">
        <v>79</v>
      </c>
      <c r="C390">
        <v>20.420000000000002</v>
      </c>
      <c r="D390">
        <v>5164</v>
      </c>
      <c r="E390">
        <v>23</v>
      </c>
      <c r="F390">
        <v>66</v>
      </c>
    </row>
    <row r="391" spans="1:6" x14ac:dyDescent="0.25">
      <c r="A391" t="s">
        <v>60</v>
      </c>
      <c r="B391" t="s">
        <v>79</v>
      </c>
      <c r="C391">
        <v>20.85</v>
      </c>
      <c r="D391">
        <v>5326</v>
      </c>
      <c r="E391">
        <v>22</v>
      </c>
      <c r="F391">
        <v>65</v>
      </c>
    </row>
    <row r="392" spans="1:6" x14ac:dyDescent="0.25">
      <c r="A392" t="s">
        <v>61</v>
      </c>
      <c r="B392" t="s">
        <v>79</v>
      </c>
      <c r="C392">
        <v>20.27</v>
      </c>
      <c r="D392">
        <v>5390</v>
      </c>
      <c r="E392">
        <v>22</v>
      </c>
      <c r="F392">
        <v>66</v>
      </c>
    </row>
    <row r="393" spans="1:6" x14ac:dyDescent="0.25">
      <c r="A393" t="s">
        <v>62</v>
      </c>
      <c r="B393" t="s">
        <v>79</v>
      </c>
      <c r="C393">
        <v>20.309999999999999</v>
      </c>
      <c r="D393">
        <v>5449</v>
      </c>
      <c r="E393">
        <v>22</v>
      </c>
      <c r="F393">
        <v>66</v>
      </c>
    </row>
    <row r="394" spans="1:6" s="2" customFormat="1" ht="14.25" x14ac:dyDescent="0.2"/>
    <row r="395" spans="1:6" s="2" customFormat="1" ht="14.25" x14ac:dyDescent="0.2">
      <c r="B395" s="2" t="s">
        <v>116</v>
      </c>
      <c r="C395" s="2">
        <f>AVERAGE(C388:C393)</f>
        <v>20.238333333333333</v>
      </c>
      <c r="D395" s="2">
        <f t="shared" ref="D395:F395" si="41">AVERAGE(D388:D393)</f>
        <v>5376.666666666667</v>
      </c>
      <c r="E395" s="2">
        <f t="shared" si="41"/>
        <v>22.166666666666668</v>
      </c>
      <c r="F395" s="2">
        <f t="shared" si="41"/>
        <v>65.833333333333329</v>
      </c>
    </row>
    <row r="396" spans="1:6" s="2" customFormat="1" ht="14.25" x14ac:dyDescent="0.2"/>
    <row r="397" spans="1:6" x14ac:dyDescent="0.25">
      <c r="A397" t="s">
        <v>63</v>
      </c>
      <c r="B397" t="s">
        <v>79</v>
      </c>
      <c r="C397">
        <v>19.71</v>
      </c>
      <c r="D397">
        <v>5187</v>
      </c>
      <c r="E397">
        <v>23</v>
      </c>
      <c r="F397">
        <v>66</v>
      </c>
    </row>
    <row r="398" spans="1:6" x14ac:dyDescent="0.25">
      <c r="A398" t="s">
        <v>64</v>
      </c>
      <c r="B398" t="s">
        <v>79</v>
      </c>
      <c r="C398">
        <v>20.36</v>
      </c>
      <c r="D398">
        <v>5703</v>
      </c>
      <c r="E398">
        <v>23</v>
      </c>
      <c r="F398">
        <v>65</v>
      </c>
    </row>
    <row r="399" spans="1:6" x14ac:dyDescent="0.25">
      <c r="A399" t="s">
        <v>65</v>
      </c>
      <c r="B399" t="s">
        <v>79</v>
      </c>
      <c r="C399">
        <v>19.89</v>
      </c>
      <c r="D399">
        <v>5629</v>
      </c>
      <c r="E399">
        <v>22</v>
      </c>
      <c r="F399">
        <v>67</v>
      </c>
    </row>
    <row r="400" spans="1:6" x14ac:dyDescent="0.25">
      <c r="A400" t="s">
        <v>66</v>
      </c>
      <c r="B400" t="s">
        <v>79</v>
      </c>
      <c r="C400">
        <v>20.010000000000002</v>
      </c>
      <c r="D400">
        <v>5343</v>
      </c>
      <c r="E400">
        <v>23</v>
      </c>
      <c r="F400">
        <v>66</v>
      </c>
    </row>
    <row r="401" spans="1:6" x14ac:dyDescent="0.25">
      <c r="A401" t="s">
        <v>67</v>
      </c>
      <c r="B401" t="s">
        <v>79</v>
      </c>
      <c r="C401">
        <v>21.13</v>
      </c>
      <c r="D401">
        <v>5533</v>
      </c>
      <c r="E401">
        <v>23</v>
      </c>
      <c r="F401">
        <v>66</v>
      </c>
    </row>
    <row r="402" spans="1:6" x14ac:dyDescent="0.25">
      <c r="A402" t="s">
        <v>68</v>
      </c>
      <c r="B402" t="s">
        <v>79</v>
      </c>
      <c r="C402">
        <v>20.059999999999999</v>
      </c>
      <c r="D402">
        <v>5745</v>
      </c>
      <c r="E402">
        <v>23</v>
      </c>
      <c r="F402">
        <v>66</v>
      </c>
    </row>
    <row r="403" spans="1:6" s="2" customFormat="1" ht="14.25" x14ac:dyDescent="0.2"/>
    <row r="404" spans="1:6" s="2" customFormat="1" ht="14.25" x14ac:dyDescent="0.2">
      <c r="B404" s="2" t="s">
        <v>116</v>
      </c>
      <c r="C404" s="2">
        <f>AVERAGE(C397:C402)</f>
        <v>20.193333333333332</v>
      </c>
      <c r="D404" s="2">
        <f t="shared" ref="D404:F404" si="42">AVERAGE(D397:D402)</f>
        <v>5523.333333333333</v>
      </c>
      <c r="E404" s="2">
        <f t="shared" si="42"/>
        <v>22.833333333333332</v>
      </c>
      <c r="F404" s="2">
        <f t="shared" si="42"/>
        <v>66</v>
      </c>
    </row>
    <row r="405" spans="1:6" s="2" customFormat="1" ht="14.25" x14ac:dyDescent="0.2"/>
    <row r="406" spans="1:6" x14ac:dyDescent="0.25">
      <c r="A406" t="s">
        <v>69</v>
      </c>
      <c r="B406" t="s">
        <v>79</v>
      </c>
      <c r="C406">
        <v>20.3</v>
      </c>
      <c r="D406">
        <v>5842</v>
      </c>
      <c r="E406">
        <v>22</v>
      </c>
      <c r="F406">
        <v>62</v>
      </c>
    </row>
    <row r="407" spans="1:6" x14ac:dyDescent="0.25">
      <c r="A407" t="s">
        <v>70</v>
      </c>
      <c r="B407" t="s">
        <v>79</v>
      </c>
      <c r="C407">
        <v>19.829999999999998</v>
      </c>
      <c r="D407">
        <v>5052</v>
      </c>
      <c r="E407">
        <v>23</v>
      </c>
      <c r="F407">
        <v>68</v>
      </c>
    </row>
    <row r="408" spans="1:6" x14ac:dyDescent="0.25">
      <c r="A408" t="s">
        <v>71</v>
      </c>
      <c r="B408" t="s">
        <v>79</v>
      </c>
      <c r="C408">
        <v>20.37</v>
      </c>
      <c r="D408">
        <v>4649</v>
      </c>
      <c r="E408">
        <v>22</v>
      </c>
      <c r="F408">
        <v>66</v>
      </c>
    </row>
    <row r="409" spans="1:6" x14ac:dyDescent="0.25">
      <c r="A409" t="s">
        <v>72</v>
      </c>
      <c r="B409" t="s">
        <v>79</v>
      </c>
      <c r="C409">
        <v>20.61</v>
      </c>
      <c r="D409">
        <v>5258</v>
      </c>
      <c r="E409">
        <v>23</v>
      </c>
      <c r="F409">
        <v>68</v>
      </c>
    </row>
    <row r="410" spans="1:6" x14ac:dyDescent="0.25">
      <c r="A410" t="s">
        <v>73</v>
      </c>
      <c r="B410" t="s">
        <v>79</v>
      </c>
      <c r="C410">
        <v>20.75</v>
      </c>
      <c r="D410">
        <v>5540</v>
      </c>
      <c r="E410">
        <v>22</v>
      </c>
      <c r="F410">
        <v>67</v>
      </c>
    </row>
    <row r="411" spans="1:6" x14ac:dyDescent="0.25">
      <c r="A411" t="s">
        <v>74</v>
      </c>
      <c r="B411" t="s">
        <v>79</v>
      </c>
      <c r="C411">
        <v>20.22</v>
      </c>
      <c r="D411">
        <v>5356</v>
      </c>
      <c r="E411">
        <v>23</v>
      </c>
      <c r="F411">
        <v>66</v>
      </c>
    </row>
    <row r="412" spans="1:6" s="2" customFormat="1" ht="14.25" x14ac:dyDescent="0.2"/>
    <row r="413" spans="1:6" s="2" customFormat="1" ht="14.25" x14ac:dyDescent="0.2">
      <c r="B413" s="2" t="s">
        <v>116</v>
      </c>
      <c r="C413" s="2">
        <f>AVERAGE(C406:C411)</f>
        <v>20.346666666666668</v>
      </c>
      <c r="D413" s="2">
        <f t="shared" ref="D413:F413" si="43">AVERAGE(D406:D411)</f>
        <v>5282.833333333333</v>
      </c>
      <c r="E413" s="2">
        <f t="shared" si="43"/>
        <v>22.5</v>
      </c>
      <c r="F413" s="2">
        <f t="shared" si="43"/>
        <v>66.166666666666671</v>
      </c>
    </row>
    <row r="414" spans="1:6" s="2" customFormat="1" ht="14.25" x14ac:dyDescent="0.2"/>
    <row r="417" spans="1:6" x14ac:dyDescent="0.25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</row>
    <row r="418" spans="1:6" x14ac:dyDescent="0.25">
      <c r="A418" s="1" t="s">
        <v>78</v>
      </c>
      <c r="B418" t="s">
        <v>7</v>
      </c>
      <c r="C418" t="s">
        <v>8</v>
      </c>
      <c r="D418" t="s">
        <v>7</v>
      </c>
    </row>
    <row r="420" spans="1:6" x14ac:dyDescent="0.25">
      <c r="A420" t="s">
        <v>9</v>
      </c>
      <c r="B420" t="s">
        <v>79</v>
      </c>
      <c r="C420">
        <v>20.66</v>
      </c>
      <c r="D420">
        <v>4707</v>
      </c>
      <c r="E420">
        <v>21</v>
      </c>
      <c r="F420">
        <v>64</v>
      </c>
    </row>
    <row r="421" spans="1:6" x14ac:dyDescent="0.25">
      <c r="A421" t="s">
        <v>10</v>
      </c>
      <c r="B421" t="s">
        <v>79</v>
      </c>
      <c r="C421">
        <v>20.010000000000002</v>
      </c>
      <c r="D421">
        <v>4848</v>
      </c>
      <c r="E421">
        <v>22</v>
      </c>
      <c r="F421">
        <v>69</v>
      </c>
    </row>
    <row r="422" spans="1:6" x14ac:dyDescent="0.25">
      <c r="A422" t="s">
        <v>11</v>
      </c>
      <c r="B422" t="s">
        <v>79</v>
      </c>
      <c r="C422">
        <v>20.329999999999998</v>
      </c>
      <c r="D422">
        <v>4480</v>
      </c>
      <c r="E422">
        <v>22</v>
      </c>
      <c r="F422">
        <v>69</v>
      </c>
    </row>
    <row r="423" spans="1:6" x14ac:dyDescent="0.25">
      <c r="A423" t="s">
        <v>12</v>
      </c>
      <c r="B423" t="s">
        <v>79</v>
      </c>
      <c r="C423">
        <v>21.77</v>
      </c>
      <c r="D423">
        <v>4500</v>
      </c>
      <c r="E423">
        <v>21</v>
      </c>
      <c r="F423">
        <v>71</v>
      </c>
    </row>
    <row r="424" spans="1:6" x14ac:dyDescent="0.25">
      <c r="A424" t="s">
        <v>13</v>
      </c>
      <c r="B424" t="s">
        <v>79</v>
      </c>
      <c r="C424">
        <v>20.18</v>
      </c>
      <c r="D424">
        <v>4533</v>
      </c>
      <c r="E424">
        <v>22</v>
      </c>
      <c r="F424">
        <v>70</v>
      </c>
    </row>
    <row r="425" spans="1:6" x14ac:dyDescent="0.25">
      <c r="A425" t="s">
        <v>14</v>
      </c>
      <c r="B425" t="s">
        <v>79</v>
      </c>
      <c r="C425">
        <v>20.88</v>
      </c>
      <c r="D425">
        <v>4508</v>
      </c>
      <c r="E425">
        <v>22</v>
      </c>
      <c r="F425">
        <v>70</v>
      </c>
    </row>
    <row r="426" spans="1:6" s="2" customFormat="1" ht="14.25" x14ac:dyDescent="0.2"/>
    <row r="427" spans="1:6" s="2" customFormat="1" ht="14.25" x14ac:dyDescent="0.2">
      <c r="B427" s="2" t="s">
        <v>116</v>
      </c>
      <c r="C427" s="2">
        <f>AVERAGE(C420:C425)</f>
        <v>20.638333333333332</v>
      </c>
      <c r="D427" s="2">
        <f t="shared" ref="D427:F427" si="44">AVERAGE(D420:D425)</f>
        <v>4596</v>
      </c>
      <c r="E427" s="2">
        <f t="shared" si="44"/>
        <v>21.666666666666668</v>
      </c>
      <c r="F427" s="2">
        <f t="shared" si="44"/>
        <v>68.833333333333329</v>
      </c>
    </row>
    <row r="428" spans="1:6" s="2" customFormat="1" ht="14.25" x14ac:dyDescent="0.2"/>
    <row r="429" spans="1:6" x14ac:dyDescent="0.25">
      <c r="A429" t="s">
        <v>15</v>
      </c>
      <c r="B429" t="s">
        <v>79</v>
      </c>
      <c r="C429">
        <v>20.6</v>
      </c>
      <c r="D429">
        <v>4414</v>
      </c>
      <c r="E429">
        <v>22</v>
      </c>
      <c r="F429">
        <v>69</v>
      </c>
    </row>
    <row r="430" spans="1:6" x14ac:dyDescent="0.25">
      <c r="A430" t="s">
        <v>16</v>
      </c>
      <c r="B430" t="s">
        <v>79</v>
      </c>
      <c r="C430">
        <v>20.72</v>
      </c>
      <c r="D430">
        <v>4237</v>
      </c>
      <c r="E430">
        <v>22</v>
      </c>
      <c r="F430">
        <v>69</v>
      </c>
    </row>
    <row r="431" spans="1:6" x14ac:dyDescent="0.25">
      <c r="A431" t="s">
        <v>17</v>
      </c>
      <c r="B431" t="s">
        <v>79</v>
      </c>
      <c r="C431">
        <v>20.79</v>
      </c>
      <c r="D431">
        <v>4401</v>
      </c>
      <c r="E431">
        <v>22</v>
      </c>
      <c r="F431">
        <v>69</v>
      </c>
    </row>
    <row r="432" spans="1:6" x14ac:dyDescent="0.25">
      <c r="A432" t="s">
        <v>18</v>
      </c>
      <c r="B432" t="s">
        <v>79</v>
      </c>
      <c r="C432">
        <v>20.73</v>
      </c>
      <c r="D432">
        <v>4288</v>
      </c>
      <c r="E432">
        <v>22</v>
      </c>
      <c r="F432">
        <v>70</v>
      </c>
    </row>
    <row r="433" spans="1:6" x14ac:dyDescent="0.25">
      <c r="A433" t="s">
        <v>19</v>
      </c>
      <c r="B433" t="s">
        <v>79</v>
      </c>
      <c r="C433">
        <v>20.63</v>
      </c>
      <c r="D433">
        <v>4563</v>
      </c>
      <c r="E433">
        <v>22</v>
      </c>
      <c r="F433">
        <v>68</v>
      </c>
    </row>
    <row r="434" spans="1:6" x14ac:dyDescent="0.25">
      <c r="A434" t="s">
        <v>20</v>
      </c>
      <c r="B434" t="s">
        <v>79</v>
      </c>
      <c r="C434">
        <v>20.28</v>
      </c>
      <c r="D434">
        <v>4503</v>
      </c>
      <c r="E434">
        <v>22</v>
      </c>
      <c r="F434">
        <v>68</v>
      </c>
    </row>
    <row r="435" spans="1:6" s="2" customFormat="1" ht="14.25" x14ac:dyDescent="0.2"/>
    <row r="436" spans="1:6" s="2" customFormat="1" ht="14.25" x14ac:dyDescent="0.2">
      <c r="B436" s="2" t="s">
        <v>116</v>
      </c>
      <c r="C436" s="2">
        <f>AVERAGE(C429:C434)</f>
        <v>20.625</v>
      </c>
      <c r="D436" s="2">
        <f t="shared" ref="D436:F436" si="45">AVERAGE(D429:D434)</f>
        <v>4401</v>
      </c>
      <c r="E436" s="2">
        <f t="shared" si="45"/>
        <v>22</v>
      </c>
      <c r="F436" s="2">
        <f t="shared" si="45"/>
        <v>68.833333333333329</v>
      </c>
    </row>
    <row r="437" spans="1:6" s="2" customFormat="1" ht="14.25" x14ac:dyDescent="0.2"/>
    <row r="438" spans="1:6" x14ac:dyDescent="0.25">
      <c r="A438" t="s">
        <v>21</v>
      </c>
      <c r="B438" t="s">
        <v>79</v>
      </c>
      <c r="C438">
        <v>22.2</v>
      </c>
      <c r="D438">
        <v>3446</v>
      </c>
      <c r="E438">
        <v>22</v>
      </c>
      <c r="F438">
        <v>68</v>
      </c>
    </row>
    <row r="439" spans="1:6" x14ac:dyDescent="0.25">
      <c r="A439" t="s">
        <v>22</v>
      </c>
      <c r="B439" t="s">
        <v>79</v>
      </c>
      <c r="C439">
        <v>22.45</v>
      </c>
      <c r="D439">
        <v>3479</v>
      </c>
      <c r="E439">
        <v>22</v>
      </c>
      <c r="F439">
        <v>68</v>
      </c>
    </row>
    <row r="440" spans="1:6" x14ac:dyDescent="0.25">
      <c r="A440" t="s">
        <v>23</v>
      </c>
      <c r="B440" t="s">
        <v>79</v>
      </c>
      <c r="C440">
        <v>22.04</v>
      </c>
      <c r="D440">
        <v>3795</v>
      </c>
      <c r="E440">
        <v>22</v>
      </c>
      <c r="F440">
        <v>68</v>
      </c>
    </row>
    <row r="441" spans="1:6" x14ac:dyDescent="0.25">
      <c r="A441" t="s">
        <v>24</v>
      </c>
      <c r="B441" t="s">
        <v>79</v>
      </c>
      <c r="C441">
        <v>21.96</v>
      </c>
      <c r="D441">
        <v>3544</v>
      </c>
      <c r="E441">
        <v>22</v>
      </c>
      <c r="F441">
        <v>66</v>
      </c>
    </row>
    <row r="442" spans="1:6" x14ac:dyDescent="0.25">
      <c r="A442" t="s">
        <v>25</v>
      </c>
      <c r="B442" t="s">
        <v>79</v>
      </c>
      <c r="C442">
        <v>22.6</v>
      </c>
      <c r="D442">
        <v>3773</v>
      </c>
      <c r="E442">
        <v>22</v>
      </c>
      <c r="F442">
        <v>68</v>
      </c>
    </row>
    <row r="443" spans="1:6" x14ac:dyDescent="0.25">
      <c r="A443" t="s">
        <v>26</v>
      </c>
      <c r="B443" t="s">
        <v>79</v>
      </c>
      <c r="C443">
        <v>21.99</v>
      </c>
      <c r="D443">
        <v>3636</v>
      </c>
      <c r="E443">
        <v>22</v>
      </c>
      <c r="F443">
        <v>68</v>
      </c>
    </row>
    <row r="444" spans="1:6" s="2" customFormat="1" ht="14.25" x14ac:dyDescent="0.2"/>
    <row r="445" spans="1:6" s="2" customFormat="1" ht="14.25" x14ac:dyDescent="0.2">
      <c r="B445" s="2" t="s">
        <v>116</v>
      </c>
      <c r="C445" s="2">
        <f>AVERAGE(C438:C443)</f>
        <v>22.206666666666667</v>
      </c>
      <c r="D445" s="2">
        <f t="shared" ref="D445:F445" si="46">AVERAGE(D438:D443)</f>
        <v>3612.1666666666665</v>
      </c>
      <c r="E445" s="2">
        <f t="shared" si="46"/>
        <v>22</v>
      </c>
      <c r="F445" s="2">
        <f t="shared" si="46"/>
        <v>67.666666666666671</v>
      </c>
    </row>
    <row r="446" spans="1:6" s="2" customFormat="1" ht="14.25" x14ac:dyDescent="0.2"/>
    <row r="447" spans="1:6" x14ac:dyDescent="0.25">
      <c r="A447" t="s">
        <v>27</v>
      </c>
      <c r="B447" t="s">
        <v>79</v>
      </c>
      <c r="C447">
        <v>22.89</v>
      </c>
      <c r="D447">
        <v>4178</v>
      </c>
      <c r="E447">
        <v>22</v>
      </c>
      <c r="F447">
        <v>65</v>
      </c>
    </row>
    <row r="448" spans="1:6" x14ac:dyDescent="0.25">
      <c r="A448" t="s">
        <v>28</v>
      </c>
      <c r="B448" t="s">
        <v>79</v>
      </c>
      <c r="C448">
        <v>22.6</v>
      </c>
      <c r="D448">
        <v>4628</v>
      </c>
      <c r="E448">
        <v>22</v>
      </c>
      <c r="F448">
        <v>67</v>
      </c>
    </row>
    <row r="449" spans="1:6" x14ac:dyDescent="0.25">
      <c r="A449" t="s">
        <v>29</v>
      </c>
      <c r="B449" t="s">
        <v>79</v>
      </c>
      <c r="C449">
        <v>21.56</v>
      </c>
      <c r="D449">
        <v>4641</v>
      </c>
      <c r="E449">
        <v>22</v>
      </c>
      <c r="F449">
        <v>66</v>
      </c>
    </row>
    <row r="450" spans="1:6" x14ac:dyDescent="0.25">
      <c r="A450" t="s">
        <v>30</v>
      </c>
      <c r="B450" t="s">
        <v>79</v>
      </c>
      <c r="C450">
        <v>21.7</v>
      </c>
      <c r="D450">
        <v>3884</v>
      </c>
      <c r="E450">
        <v>22</v>
      </c>
      <c r="F450">
        <v>71</v>
      </c>
    </row>
    <row r="451" spans="1:6" x14ac:dyDescent="0.25">
      <c r="A451" t="s">
        <v>31</v>
      </c>
      <c r="B451" t="s">
        <v>79</v>
      </c>
      <c r="C451">
        <v>21.73</v>
      </c>
      <c r="D451">
        <v>4479</v>
      </c>
      <c r="E451">
        <v>22</v>
      </c>
      <c r="F451">
        <v>68</v>
      </c>
    </row>
    <row r="452" spans="1:6" x14ac:dyDescent="0.25">
      <c r="A452" t="s">
        <v>32</v>
      </c>
      <c r="B452" t="s">
        <v>79</v>
      </c>
      <c r="C452">
        <v>22.23</v>
      </c>
      <c r="D452">
        <v>4554</v>
      </c>
      <c r="E452">
        <v>22</v>
      </c>
      <c r="F452">
        <v>68</v>
      </c>
    </row>
    <row r="453" spans="1:6" s="2" customFormat="1" ht="14.25" x14ac:dyDescent="0.2"/>
    <row r="454" spans="1:6" s="2" customFormat="1" ht="14.25" x14ac:dyDescent="0.2">
      <c r="B454" s="2" t="s">
        <v>116</v>
      </c>
      <c r="C454" s="2">
        <f>AVERAGE(C447:C452)</f>
        <v>22.118333333333336</v>
      </c>
      <c r="D454" s="2">
        <f t="shared" ref="D454:F454" si="47">AVERAGE(D447:D452)</f>
        <v>4394</v>
      </c>
      <c r="E454" s="2">
        <f t="shared" si="47"/>
        <v>22</v>
      </c>
      <c r="F454" s="2">
        <f t="shared" si="47"/>
        <v>67.5</v>
      </c>
    </row>
    <row r="455" spans="1:6" s="2" customFormat="1" ht="14.25" x14ac:dyDescent="0.2"/>
    <row r="456" spans="1:6" x14ac:dyDescent="0.25">
      <c r="A456" t="s">
        <v>33</v>
      </c>
      <c r="B456" t="s">
        <v>79</v>
      </c>
      <c r="C456">
        <v>19.07</v>
      </c>
      <c r="D456">
        <v>6596</v>
      </c>
      <c r="E456">
        <v>22</v>
      </c>
      <c r="F456">
        <v>68</v>
      </c>
    </row>
    <row r="457" spans="1:6" x14ac:dyDescent="0.25">
      <c r="A457" t="s">
        <v>34</v>
      </c>
      <c r="B457" t="s">
        <v>79</v>
      </c>
      <c r="C457">
        <v>19.04</v>
      </c>
      <c r="D457">
        <v>6983</v>
      </c>
      <c r="E457">
        <v>22</v>
      </c>
      <c r="F457">
        <v>66</v>
      </c>
    </row>
    <row r="458" spans="1:6" x14ac:dyDescent="0.25">
      <c r="A458" t="s">
        <v>35</v>
      </c>
      <c r="B458" t="s">
        <v>79</v>
      </c>
      <c r="C458">
        <v>18.64</v>
      </c>
      <c r="D458">
        <v>6712</v>
      </c>
      <c r="E458">
        <v>22</v>
      </c>
      <c r="F458">
        <v>66</v>
      </c>
    </row>
    <row r="459" spans="1:6" x14ac:dyDescent="0.25">
      <c r="A459" t="s">
        <v>36</v>
      </c>
      <c r="B459" t="s">
        <v>79</v>
      </c>
      <c r="C459">
        <v>19.61</v>
      </c>
      <c r="D459">
        <v>6388</v>
      </c>
      <c r="E459">
        <v>22</v>
      </c>
      <c r="F459">
        <v>67</v>
      </c>
    </row>
    <row r="460" spans="1:6" x14ac:dyDescent="0.25">
      <c r="A460" t="s">
        <v>37</v>
      </c>
      <c r="B460" t="s">
        <v>79</v>
      </c>
      <c r="C460">
        <v>19.059999999999999</v>
      </c>
      <c r="D460">
        <v>5789</v>
      </c>
      <c r="E460">
        <v>22</v>
      </c>
      <c r="F460">
        <v>65</v>
      </c>
    </row>
    <row r="461" spans="1:6" x14ac:dyDescent="0.25">
      <c r="A461" t="s">
        <v>38</v>
      </c>
      <c r="B461" t="s">
        <v>79</v>
      </c>
      <c r="C461">
        <v>18.84</v>
      </c>
      <c r="D461">
        <v>6539</v>
      </c>
      <c r="E461">
        <v>22</v>
      </c>
      <c r="F461">
        <v>69</v>
      </c>
    </row>
    <row r="462" spans="1:6" s="2" customFormat="1" ht="14.25" x14ac:dyDescent="0.2"/>
    <row r="463" spans="1:6" s="2" customFormat="1" ht="14.25" x14ac:dyDescent="0.2">
      <c r="B463" s="2" t="s">
        <v>116</v>
      </c>
      <c r="C463" s="2">
        <f>AVERAGE(C456:C461)</f>
        <v>19.043333333333333</v>
      </c>
      <c r="D463" s="2">
        <f t="shared" ref="D463:F463" si="48">AVERAGE(D456:D461)</f>
        <v>6501.166666666667</v>
      </c>
      <c r="E463" s="2">
        <f t="shared" si="48"/>
        <v>22</v>
      </c>
      <c r="F463" s="2">
        <f t="shared" si="48"/>
        <v>66.833333333333329</v>
      </c>
    </row>
    <row r="464" spans="1:6" s="2" customFormat="1" ht="14.25" x14ac:dyDescent="0.2"/>
    <row r="465" spans="1:6" x14ac:dyDescent="0.25">
      <c r="A465" t="s">
        <v>39</v>
      </c>
      <c r="B465" t="s">
        <v>79</v>
      </c>
      <c r="C465">
        <v>17.899999999999999</v>
      </c>
      <c r="D465">
        <v>6821</v>
      </c>
      <c r="E465">
        <v>22</v>
      </c>
      <c r="F465">
        <v>68</v>
      </c>
    </row>
    <row r="466" spans="1:6" x14ac:dyDescent="0.25">
      <c r="A466" t="s">
        <v>40</v>
      </c>
      <c r="B466" t="s">
        <v>79</v>
      </c>
      <c r="C466">
        <v>17.489999999999998</v>
      </c>
      <c r="D466">
        <v>6210</v>
      </c>
      <c r="E466">
        <v>22</v>
      </c>
      <c r="F466">
        <v>67</v>
      </c>
    </row>
    <row r="467" spans="1:6" x14ac:dyDescent="0.25">
      <c r="A467" t="s">
        <v>41</v>
      </c>
      <c r="B467" t="s">
        <v>79</v>
      </c>
      <c r="C467">
        <v>18.11</v>
      </c>
      <c r="D467">
        <v>6830</v>
      </c>
      <c r="E467">
        <v>22</v>
      </c>
      <c r="F467">
        <v>66</v>
      </c>
    </row>
    <row r="468" spans="1:6" x14ac:dyDescent="0.25">
      <c r="A468" t="s">
        <v>42</v>
      </c>
      <c r="B468" t="s">
        <v>79</v>
      </c>
      <c r="C468">
        <v>17.96</v>
      </c>
      <c r="D468">
        <v>7023</v>
      </c>
      <c r="E468">
        <v>22</v>
      </c>
      <c r="F468">
        <v>67</v>
      </c>
    </row>
    <row r="469" spans="1:6" x14ac:dyDescent="0.25">
      <c r="A469" t="s">
        <v>43</v>
      </c>
      <c r="B469" t="s">
        <v>79</v>
      </c>
      <c r="C469">
        <v>17.46</v>
      </c>
      <c r="D469">
        <v>6721</v>
      </c>
      <c r="E469">
        <v>23</v>
      </c>
      <c r="F469">
        <v>66</v>
      </c>
    </row>
    <row r="470" spans="1:6" x14ac:dyDescent="0.25">
      <c r="A470" t="s">
        <v>44</v>
      </c>
      <c r="B470" t="s">
        <v>79</v>
      </c>
      <c r="C470">
        <v>17.72</v>
      </c>
      <c r="D470">
        <v>6806</v>
      </c>
      <c r="E470">
        <v>22</v>
      </c>
      <c r="F470">
        <v>65</v>
      </c>
    </row>
    <row r="471" spans="1:6" s="2" customFormat="1" ht="14.25" x14ac:dyDescent="0.2"/>
    <row r="472" spans="1:6" s="2" customFormat="1" ht="14.25" x14ac:dyDescent="0.2">
      <c r="B472" s="2" t="s">
        <v>116</v>
      </c>
      <c r="C472" s="2">
        <f>AVERAGE(C465:C470)</f>
        <v>17.773333333333337</v>
      </c>
      <c r="D472" s="2">
        <f t="shared" ref="D472:F472" si="49">AVERAGE(D465:D470)</f>
        <v>6735.166666666667</v>
      </c>
      <c r="E472" s="2">
        <f t="shared" si="49"/>
        <v>22.166666666666668</v>
      </c>
      <c r="F472" s="2">
        <f t="shared" si="49"/>
        <v>66.5</v>
      </c>
    </row>
    <row r="473" spans="1:6" s="2" customFormat="1" ht="14.25" x14ac:dyDescent="0.2"/>
    <row r="474" spans="1:6" x14ac:dyDescent="0.25">
      <c r="A474" t="s">
        <v>45</v>
      </c>
      <c r="B474" t="s">
        <v>79</v>
      </c>
      <c r="C474">
        <v>18.77</v>
      </c>
      <c r="D474">
        <v>7141</v>
      </c>
      <c r="E474">
        <v>23</v>
      </c>
      <c r="F474">
        <v>68</v>
      </c>
    </row>
    <row r="475" spans="1:6" x14ac:dyDescent="0.25">
      <c r="A475" t="s">
        <v>46</v>
      </c>
      <c r="B475" t="s">
        <v>79</v>
      </c>
      <c r="C475">
        <v>18.170000000000002</v>
      </c>
      <c r="D475">
        <v>7121</v>
      </c>
      <c r="E475">
        <v>22</v>
      </c>
      <c r="F475">
        <v>66</v>
      </c>
    </row>
    <row r="476" spans="1:6" x14ac:dyDescent="0.25">
      <c r="A476" t="s">
        <v>47</v>
      </c>
      <c r="B476" t="s">
        <v>79</v>
      </c>
      <c r="C476">
        <v>18.760000000000002</v>
      </c>
      <c r="D476">
        <v>7209</v>
      </c>
      <c r="E476">
        <v>22</v>
      </c>
      <c r="F476">
        <v>66</v>
      </c>
    </row>
    <row r="477" spans="1:6" x14ac:dyDescent="0.25">
      <c r="A477" t="s">
        <v>48</v>
      </c>
      <c r="B477" t="s">
        <v>79</v>
      </c>
      <c r="C477">
        <v>18.04</v>
      </c>
      <c r="D477">
        <v>6698</v>
      </c>
      <c r="E477">
        <v>22</v>
      </c>
      <c r="F477">
        <v>65</v>
      </c>
    </row>
    <row r="478" spans="1:6" x14ac:dyDescent="0.25">
      <c r="A478" t="s">
        <v>49</v>
      </c>
      <c r="B478" t="s">
        <v>79</v>
      </c>
      <c r="C478">
        <v>18.52</v>
      </c>
      <c r="D478">
        <v>7182</v>
      </c>
      <c r="E478">
        <v>22</v>
      </c>
      <c r="F478">
        <v>66</v>
      </c>
    </row>
    <row r="479" spans="1:6" x14ac:dyDescent="0.25">
      <c r="A479" t="s">
        <v>50</v>
      </c>
      <c r="B479" t="s">
        <v>79</v>
      </c>
      <c r="C479">
        <v>18.46</v>
      </c>
      <c r="D479">
        <v>7068</v>
      </c>
      <c r="E479">
        <v>22</v>
      </c>
      <c r="F479">
        <v>66</v>
      </c>
    </row>
    <row r="480" spans="1:6" s="2" customFormat="1" ht="14.25" x14ac:dyDescent="0.2"/>
    <row r="481" spans="1:6" s="2" customFormat="1" ht="14.25" x14ac:dyDescent="0.2">
      <c r="B481" s="2" t="s">
        <v>116</v>
      </c>
      <c r="C481" s="2">
        <f>AVERAGE(C474:C479)</f>
        <v>18.453333333333333</v>
      </c>
      <c r="D481" s="2">
        <f t="shared" ref="D481:F481" si="50">AVERAGE(D474:D479)</f>
        <v>7069.833333333333</v>
      </c>
      <c r="E481" s="2">
        <f t="shared" si="50"/>
        <v>22.166666666666668</v>
      </c>
      <c r="F481" s="2">
        <f t="shared" si="50"/>
        <v>66.166666666666671</v>
      </c>
    </row>
    <row r="482" spans="1:6" s="2" customFormat="1" ht="14.25" x14ac:dyDescent="0.2"/>
    <row r="483" spans="1:6" x14ac:dyDescent="0.25">
      <c r="A483" t="s">
        <v>51</v>
      </c>
      <c r="B483" t="s">
        <v>79</v>
      </c>
      <c r="C483">
        <v>18.690000000000001</v>
      </c>
      <c r="D483">
        <v>6232</v>
      </c>
      <c r="E483">
        <v>22</v>
      </c>
      <c r="F483">
        <v>65</v>
      </c>
    </row>
    <row r="484" spans="1:6" x14ac:dyDescent="0.25">
      <c r="A484" t="s">
        <v>52</v>
      </c>
      <c r="B484" t="s">
        <v>79</v>
      </c>
      <c r="C484">
        <v>18.690000000000001</v>
      </c>
      <c r="D484">
        <v>6321</v>
      </c>
      <c r="E484">
        <v>23</v>
      </c>
      <c r="F484">
        <v>66</v>
      </c>
    </row>
    <row r="485" spans="1:6" x14ac:dyDescent="0.25">
      <c r="A485" t="s">
        <v>53</v>
      </c>
      <c r="B485" t="s">
        <v>79</v>
      </c>
      <c r="C485">
        <v>18.649999999999999</v>
      </c>
      <c r="D485">
        <v>7205</v>
      </c>
      <c r="E485">
        <v>23</v>
      </c>
      <c r="F485">
        <v>67</v>
      </c>
    </row>
    <row r="486" spans="1:6" x14ac:dyDescent="0.25">
      <c r="A486" t="s">
        <v>54</v>
      </c>
      <c r="B486" t="s">
        <v>79</v>
      </c>
      <c r="C486">
        <v>18.809999999999999</v>
      </c>
      <c r="D486">
        <v>6527</v>
      </c>
      <c r="E486">
        <v>22</v>
      </c>
      <c r="F486">
        <v>68</v>
      </c>
    </row>
    <row r="487" spans="1:6" x14ac:dyDescent="0.25">
      <c r="A487" t="s">
        <v>55</v>
      </c>
      <c r="B487" t="s">
        <v>79</v>
      </c>
      <c r="C487">
        <v>19.61</v>
      </c>
      <c r="D487">
        <v>6493</v>
      </c>
      <c r="E487">
        <v>23</v>
      </c>
      <c r="F487">
        <v>67</v>
      </c>
    </row>
    <row r="488" spans="1:6" x14ac:dyDescent="0.25">
      <c r="A488" t="s">
        <v>56</v>
      </c>
      <c r="B488" t="s">
        <v>79</v>
      </c>
      <c r="C488">
        <v>19.32</v>
      </c>
      <c r="D488">
        <v>6377</v>
      </c>
      <c r="E488">
        <v>22</v>
      </c>
      <c r="F488">
        <v>65</v>
      </c>
    </row>
    <row r="489" spans="1:6" s="2" customFormat="1" ht="14.25" x14ac:dyDescent="0.2"/>
    <row r="490" spans="1:6" s="2" customFormat="1" ht="14.25" x14ac:dyDescent="0.2">
      <c r="B490" s="2" t="s">
        <v>116</v>
      </c>
      <c r="C490" s="2">
        <f>AVERAGE(C483:C488)</f>
        <v>18.96166666666667</v>
      </c>
      <c r="D490" s="2">
        <f t="shared" ref="D490:F490" si="51">AVERAGE(D483:D488)</f>
        <v>6525.833333333333</v>
      </c>
      <c r="E490" s="2">
        <f t="shared" si="51"/>
        <v>22.5</v>
      </c>
      <c r="F490" s="2">
        <f t="shared" si="51"/>
        <v>66.333333333333329</v>
      </c>
    </row>
    <row r="491" spans="1:6" s="2" customFormat="1" ht="14.25" x14ac:dyDescent="0.2"/>
    <row r="492" spans="1:6" x14ac:dyDescent="0.25">
      <c r="A492" t="s">
        <v>57</v>
      </c>
      <c r="B492" t="s">
        <v>79</v>
      </c>
      <c r="C492">
        <v>19.87</v>
      </c>
      <c r="D492">
        <v>5111</v>
      </c>
      <c r="E492">
        <v>22</v>
      </c>
      <c r="F492">
        <v>68</v>
      </c>
    </row>
    <row r="493" spans="1:6" x14ac:dyDescent="0.25">
      <c r="A493" t="s">
        <v>58</v>
      </c>
      <c r="B493" t="s">
        <v>79</v>
      </c>
      <c r="C493">
        <v>20.5</v>
      </c>
      <c r="D493">
        <v>5832</v>
      </c>
      <c r="E493">
        <v>23</v>
      </c>
      <c r="F493">
        <v>66</v>
      </c>
    </row>
    <row r="494" spans="1:6" x14ac:dyDescent="0.25">
      <c r="A494" t="s">
        <v>59</v>
      </c>
      <c r="B494" t="s">
        <v>79</v>
      </c>
      <c r="C494">
        <v>20.309999999999999</v>
      </c>
      <c r="D494">
        <v>5601</v>
      </c>
      <c r="E494">
        <v>22</v>
      </c>
      <c r="F494">
        <v>66</v>
      </c>
    </row>
    <row r="495" spans="1:6" x14ac:dyDescent="0.25">
      <c r="A495" t="s">
        <v>60</v>
      </c>
      <c r="B495" t="s">
        <v>79</v>
      </c>
      <c r="C495">
        <v>20.38</v>
      </c>
      <c r="D495">
        <v>5502</v>
      </c>
      <c r="E495">
        <v>23</v>
      </c>
      <c r="F495">
        <v>69</v>
      </c>
    </row>
    <row r="496" spans="1:6" x14ac:dyDescent="0.25">
      <c r="A496" t="s">
        <v>61</v>
      </c>
      <c r="B496" t="s">
        <v>79</v>
      </c>
      <c r="C496">
        <v>19.59</v>
      </c>
      <c r="D496">
        <v>5277</v>
      </c>
      <c r="E496">
        <v>22</v>
      </c>
      <c r="F496">
        <v>68</v>
      </c>
    </row>
    <row r="497" spans="1:6" x14ac:dyDescent="0.25">
      <c r="A497" t="s">
        <v>62</v>
      </c>
      <c r="B497" t="s">
        <v>79</v>
      </c>
      <c r="C497">
        <v>19.72</v>
      </c>
      <c r="D497">
        <v>5479</v>
      </c>
      <c r="E497">
        <v>22</v>
      </c>
      <c r="F497">
        <v>66</v>
      </c>
    </row>
    <row r="498" spans="1:6" s="2" customFormat="1" ht="14.25" x14ac:dyDescent="0.2"/>
    <row r="499" spans="1:6" s="2" customFormat="1" ht="14.25" x14ac:dyDescent="0.2">
      <c r="B499" s="2" t="s">
        <v>116</v>
      </c>
      <c r="C499" s="2">
        <f>AVERAGE(C492:C497)</f>
        <v>20.061666666666667</v>
      </c>
      <c r="D499" s="2">
        <f t="shared" ref="D499:F499" si="52">AVERAGE(D492:D497)</f>
        <v>5467</v>
      </c>
      <c r="E499" s="2">
        <f t="shared" si="52"/>
        <v>22.333333333333332</v>
      </c>
      <c r="F499" s="2">
        <f t="shared" si="52"/>
        <v>67.166666666666671</v>
      </c>
    </row>
    <row r="500" spans="1:6" s="2" customFormat="1" ht="14.25" x14ac:dyDescent="0.2"/>
    <row r="501" spans="1:6" x14ac:dyDescent="0.25">
      <c r="A501" t="s">
        <v>63</v>
      </c>
      <c r="B501" t="s">
        <v>79</v>
      </c>
      <c r="C501">
        <v>19.72</v>
      </c>
      <c r="D501">
        <v>5189</v>
      </c>
      <c r="E501">
        <v>23</v>
      </c>
      <c r="F501">
        <v>66</v>
      </c>
    </row>
    <row r="502" spans="1:6" x14ac:dyDescent="0.25">
      <c r="A502" t="s">
        <v>64</v>
      </c>
      <c r="B502" t="s">
        <v>79</v>
      </c>
      <c r="C502">
        <v>19.920000000000002</v>
      </c>
      <c r="D502">
        <v>4878</v>
      </c>
      <c r="E502">
        <v>22</v>
      </c>
      <c r="F502">
        <v>65</v>
      </c>
    </row>
    <row r="503" spans="1:6" x14ac:dyDescent="0.25">
      <c r="A503" t="s">
        <v>65</v>
      </c>
      <c r="B503" t="s">
        <v>79</v>
      </c>
      <c r="C503">
        <v>20.49</v>
      </c>
      <c r="D503">
        <v>5404</v>
      </c>
      <c r="E503">
        <v>22</v>
      </c>
      <c r="F503">
        <v>67</v>
      </c>
    </row>
    <row r="504" spans="1:6" x14ac:dyDescent="0.25">
      <c r="A504" t="s">
        <v>66</v>
      </c>
      <c r="B504" t="s">
        <v>79</v>
      </c>
      <c r="C504">
        <v>19.93</v>
      </c>
      <c r="D504">
        <v>5583</v>
      </c>
      <c r="E504">
        <v>22</v>
      </c>
      <c r="F504">
        <v>63</v>
      </c>
    </row>
    <row r="505" spans="1:6" x14ac:dyDescent="0.25">
      <c r="A505" t="s">
        <v>67</v>
      </c>
      <c r="B505" t="s">
        <v>79</v>
      </c>
      <c r="C505">
        <v>20.45</v>
      </c>
      <c r="D505">
        <v>5486</v>
      </c>
      <c r="E505">
        <v>22</v>
      </c>
      <c r="F505">
        <v>65</v>
      </c>
    </row>
    <row r="506" spans="1:6" x14ac:dyDescent="0.25">
      <c r="A506" t="s">
        <v>68</v>
      </c>
      <c r="B506" t="s">
        <v>79</v>
      </c>
      <c r="C506">
        <v>19.940000000000001</v>
      </c>
      <c r="D506">
        <v>5517</v>
      </c>
      <c r="E506">
        <v>22</v>
      </c>
      <c r="F506">
        <v>65</v>
      </c>
    </row>
    <row r="507" spans="1:6" s="2" customFormat="1" ht="14.25" x14ac:dyDescent="0.2"/>
    <row r="508" spans="1:6" s="2" customFormat="1" ht="14.25" x14ac:dyDescent="0.2">
      <c r="B508" s="2" t="s">
        <v>116</v>
      </c>
      <c r="C508" s="2">
        <f>AVERAGE(C501:C506)</f>
        <v>20.074999999999999</v>
      </c>
      <c r="D508" s="2">
        <f t="shared" ref="D508:F508" si="53">AVERAGE(D501:D506)</f>
        <v>5342.833333333333</v>
      </c>
      <c r="E508" s="2">
        <f t="shared" si="53"/>
        <v>22.166666666666668</v>
      </c>
      <c r="F508" s="2">
        <f t="shared" si="53"/>
        <v>65.166666666666671</v>
      </c>
    </row>
    <row r="509" spans="1:6" s="2" customFormat="1" ht="14.25" x14ac:dyDescent="0.2"/>
    <row r="510" spans="1:6" x14ac:dyDescent="0.25">
      <c r="A510" t="s">
        <v>69</v>
      </c>
      <c r="B510" t="s">
        <v>79</v>
      </c>
      <c r="C510">
        <v>19.920000000000002</v>
      </c>
      <c r="D510">
        <v>5093</v>
      </c>
      <c r="E510">
        <v>23</v>
      </c>
      <c r="F510">
        <v>65</v>
      </c>
    </row>
    <row r="511" spans="1:6" x14ac:dyDescent="0.25">
      <c r="A511" t="s">
        <v>70</v>
      </c>
      <c r="B511" t="s">
        <v>79</v>
      </c>
      <c r="C511">
        <v>20.52</v>
      </c>
      <c r="D511">
        <v>5784</v>
      </c>
      <c r="E511">
        <v>22</v>
      </c>
      <c r="F511">
        <v>65</v>
      </c>
    </row>
    <row r="512" spans="1:6" x14ac:dyDescent="0.25">
      <c r="A512" t="s">
        <v>71</v>
      </c>
      <c r="B512" t="s">
        <v>79</v>
      </c>
      <c r="C512">
        <v>20.2</v>
      </c>
      <c r="D512">
        <v>5763</v>
      </c>
      <c r="E512">
        <v>22</v>
      </c>
      <c r="F512">
        <v>66</v>
      </c>
    </row>
    <row r="513" spans="1:6" x14ac:dyDescent="0.25">
      <c r="A513" t="s">
        <v>72</v>
      </c>
      <c r="B513" t="s">
        <v>79</v>
      </c>
      <c r="C513">
        <v>20.38</v>
      </c>
      <c r="D513">
        <v>6003</v>
      </c>
      <c r="E513">
        <v>23</v>
      </c>
      <c r="F513">
        <v>64</v>
      </c>
    </row>
    <row r="514" spans="1:6" x14ac:dyDescent="0.25">
      <c r="A514" t="s">
        <v>73</v>
      </c>
      <c r="B514" t="s">
        <v>79</v>
      </c>
      <c r="C514">
        <v>19.07</v>
      </c>
      <c r="D514">
        <v>5765</v>
      </c>
      <c r="E514">
        <v>22</v>
      </c>
      <c r="F514">
        <v>65</v>
      </c>
    </row>
    <row r="515" spans="1:6" x14ac:dyDescent="0.25">
      <c r="A515" t="s">
        <v>74</v>
      </c>
      <c r="B515" t="s">
        <v>79</v>
      </c>
      <c r="C515">
        <v>20</v>
      </c>
      <c r="D515">
        <v>5921</v>
      </c>
      <c r="E515">
        <v>22</v>
      </c>
      <c r="F515">
        <v>65</v>
      </c>
    </row>
    <row r="516" spans="1:6" s="2" customFormat="1" ht="14.25" x14ac:dyDescent="0.2"/>
    <row r="517" spans="1:6" s="2" customFormat="1" ht="14.25" x14ac:dyDescent="0.2">
      <c r="B517" s="2" t="s">
        <v>116</v>
      </c>
      <c r="C517" s="2">
        <f>AVERAGE(C510:C515)</f>
        <v>20.015000000000001</v>
      </c>
      <c r="D517" s="2">
        <f t="shared" ref="D517:F517" si="54">AVERAGE(D510:D515)</f>
        <v>5721.5</v>
      </c>
      <c r="E517" s="2">
        <f t="shared" si="54"/>
        <v>22.333333333333332</v>
      </c>
      <c r="F517" s="2">
        <f t="shared" si="54"/>
        <v>65</v>
      </c>
    </row>
    <row r="518" spans="1:6" s="2" customFormat="1" ht="14.25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538F-3BE8-4C67-9D75-6A1C25E2DF79}">
  <dimension ref="A1:L15"/>
  <sheetViews>
    <sheetView workbookViewId="0">
      <selection activeCell="A3" sqref="A3:A13"/>
    </sheetView>
  </sheetViews>
  <sheetFormatPr defaultRowHeight="15" x14ac:dyDescent="0.25"/>
  <cols>
    <col min="1" max="1" width="16.42578125" bestFit="1" customWidth="1"/>
    <col min="2" max="5" width="13.7109375" bestFit="1" customWidth="1"/>
    <col min="7" max="7" width="13.7109375" bestFit="1" customWidth="1"/>
  </cols>
  <sheetData>
    <row r="1" spans="1:12" x14ac:dyDescent="0.25">
      <c r="A1" s="2" t="s">
        <v>80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</row>
    <row r="2" spans="1:12" x14ac:dyDescent="0.25">
      <c r="A2" s="2"/>
      <c r="B2" s="3" t="s">
        <v>87</v>
      </c>
      <c r="C2" s="3" t="s">
        <v>87</v>
      </c>
      <c r="D2" s="3" t="s">
        <v>87</v>
      </c>
      <c r="E2" s="3" t="s">
        <v>87</v>
      </c>
      <c r="F2" s="3" t="s">
        <v>87</v>
      </c>
      <c r="G2" s="3" t="s">
        <v>87</v>
      </c>
      <c r="I2" s="3" t="s">
        <v>88</v>
      </c>
      <c r="J2" s="3" t="s">
        <v>89</v>
      </c>
      <c r="K2" s="3" t="s">
        <v>90</v>
      </c>
      <c r="L2" s="3" t="s">
        <v>91</v>
      </c>
    </row>
    <row r="3" spans="1:12" x14ac:dyDescent="0.25">
      <c r="A3" s="4" t="s">
        <v>92</v>
      </c>
      <c r="B3" s="5" t="s">
        <v>93</v>
      </c>
      <c r="C3" s="6">
        <v>19.656666666666666</v>
      </c>
      <c r="D3" s="6">
        <v>19.313333333333333</v>
      </c>
      <c r="E3" s="6">
        <v>20.428333333333338</v>
      </c>
      <c r="F3" s="6">
        <v>20.684999999999999</v>
      </c>
      <c r="G3" s="6">
        <v>20.638333333333332</v>
      </c>
      <c r="I3" s="7">
        <v>20.144333333333336</v>
      </c>
      <c r="J3" s="7">
        <v>0.64501130481049218</v>
      </c>
      <c r="K3" s="7">
        <v>3.2019491245370513</v>
      </c>
      <c r="L3" s="7">
        <v>0.56536694759310824</v>
      </c>
    </row>
    <row r="4" spans="1:12" x14ac:dyDescent="0.25">
      <c r="A4" s="4" t="s">
        <v>94</v>
      </c>
      <c r="B4" s="5" t="s">
        <v>95</v>
      </c>
      <c r="C4" s="6">
        <v>20.996666666666666</v>
      </c>
      <c r="D4" s="6">
        <v>20.636666666666667</v>
      </c>
      <c r="E4" s="6">
        <v>20.381666666666668</v>
      </c>
      <c r="F4" s="6">
        <v>20.826666666666664</v>
      </c>
      <c r="G4" s="6">
        <v>20.625</v>
      </c>
      <c r="I4" s="7">
        <v>20.693333333333335</v>
      </c>
      <c r="J4" s="7">
        <v>0.18238390523532613</v>
      </c>
      <c r="K4" s="7">
        <v>0.88136552143359914</v>
      </c>
      <c r="L4" s="7">
        <v>0.15986360397714652</v>
      </c>
    </row>
    <row r="5" spans="1:12" x14ac:dyDescent="0.25">
      <c r="A5" s="4" t="s">
        <v>96</v>
      </c>
      <c r="B5" s="5" t="s">
        <v>97</v>
      </c>
      <c r="C5" s="6">
        <v>21.754999999999999</v>
      </c>
      <c r="D5" s="6">
        <v>21.411666666666665</v>
      </c>
      <c r="E5" s="6">
        <v>21.443333333333332</v>
      </c>
      <c r="F5" s="6">
        <v>21.7</v>
      </c>
      <c r="G5" s="6">
        <v>22.206666666666667</v>
      </c>
      <c r="I5" s="7">
        <v>21.703333333333333</v>
      </c>
      <c r="J5" s="7">
        <v>0.36758565391342957</v>
      </c>
      <c r="K5" s="7">
        <v>1.6936829392417272</v>
      </c>
      <c r="L5" s="7">
        <v>0.32219711124770323</v>
      </c>
    </row>
    <row r="6" spans="1:12" x14ac:dyDescent="0.25">
      <c r="A6" s="4" t="s">
        <v>98</v>
      </c>
      <c r="B6" s="5" t="s">
        <v>99</v>
      </c>
      <c r="C6" s="6">
        <v>22.576666666666664</v>
      </c>
      <c r="D6" s="6">
        <v>22.715000000000003</v>
      </c>
      <c r="E6" s="6">
        <v>22.838333333333328</v>
      </c>
      <c r="F6" s="6">
        <v>22.298333333333332</v>
      </c>
      <c r="G6" s="6">
        <v>22.118333333333336</v>
      </c>
      <c r="I6" s="7">
        <v>22.509333333333334</v>
      </c>
      <c r="J6" s="7">
        <v>0.34000408494277901</v>
      </c>
      <c r="K6" s="7">
        <v>1.5105026875197503</v>
      </c>
      <c r="L6" s="7">
        <v>0.2980212443404604</v>
      </c>
    </row>
    <row r="7" spans="1:12" x14ac:dyDescent="0.25">
      <c r="A7" s="4" t="s">
        <v>100</v>
      </c>
      <c r="B7" s="5" t="s">
        <v>101</v>
      </c>
      <c r="C7" s="6">
        <v>19.191666666666666</v>
      </c>
      <c r="D7" s="6">
        <v>19.281666666666666</v>
      </c>
      <c r="E7" s="6">
        <v>19.156666666666666</v>
      </c>
      <c r="F7" s="6">
        <v>18.983333333333334</v>
      </c>
      <c r="G7" s="6">
        <v>19.043333333333333</v>
      </c>
      <c r="I7" s="7">
        <v>19.131333333333334</v>
      </c>
      <c r="J7" s="7">
        <v>0.13163062094501513</v>
      </c>
      <c r="K7" s="7">
        <v>0.68803683805806426</v>
      </c>
      <c r="L7" s="7">
        <v>0.11537720628839761</v>
      </c>
    </row>
    <row r="8" spans="1:12" x14ac:dyDescent="0.25">
      <c r="A8" s="4" t="s">
        <v>102</v>
      </c>
      <c r="B8" s="5" t="s">
        <v>103</v>
      </c>
      <c r="C8" s="6">
        <v>18.048333333333336</v>
      </c>
      <c r="D8" s="6">
        <v>18.083333333333332</v>
      </c>
      <c r="E8" s="6">
        <v>18.168333333333333</v>
      </c>
      <c r="F8" s="6">
        <v>17.676666666666666</v>
      </c>
      <c r="G8" s="6">
        <v>17.773333333333337</v>
      </c>
      <c r="I8" s="7">
        <v>17.95</v>
      </c>
      <c r="J8" s="7">
        <v>0.23731279171403866</v>
      </c>
      <c r="K8" s="7">
        <v>1.3220768340614968</v>
      </c>
      <c r="L8" s="7">
        <v>0.20801001110451023</v>
      </c>
    </row>
    <row r="9" spans="1:12" x14ac:dyDescent="0.25">
      <c r="A9" s="4" t="s">
        <v>104</v>
      </c>
      <c r="B9" s="5" t="s">
        <v>105</v>
      </c>
      <c r="C9" s="6">
        <v>18.576666666666668</v>
      </c>
      <c r="D9" s="6">
        <v>18.673333333333332</v>
      </c>
      <c r="E9" s="6">
        <v>18.78833333333333</v>
      </c>
      <c r="F9" s="6">
        <v>18.491666666666664</v>
      </c>
      <c r="G9" s="6">
        <v>18.453333333333333</v>
      </c>
      <c r="I9" s="7">
        <v>18.596666666666664</v>
      </c>
      <c r="J9" s="7">
        <v>0.15714466088430834</v>
      </c>
      <c r="K9" s="7">
        <v>0.84501520461180335</v>
      </c>
      <c r="L9" s="7">
        <v>0.13774083739635928</v>
      </c>
    </row>
    <row r="10" spans="1:12" x14ac:dyDescent="0.25">
      <c r="A10" s="4" t="s">
        <v>106</v>
      </c>
      <c r="B10" s="5" t="s">
        <v>107</v>
      </c>
      <c r="C10" s="6">
        <v>18.86</v>
      </c>
      <c r="D10" s="6">
        <v>19.02</v>
      </c>
      <c r="E10" s="6">
        <v>18.78</v>
      </c>
      <c r="F10" s="6">
        <v>18.8</v>
      </c>
      <c r="G10" s="6">
        <v>18.96166666666667</v>
      </c>
      <c r="I10" s="7">
        <v>18.884333333333334</v>
      </c>
      <c r="J10" s="7">
        <v>0.11865273794659018</v>
      </c>
      <c r="K10" s="7">
        <v>0.62831308816791787</v>
      </c>
      <c r="L10" s="7">
        <v>0.10400179931131256</v>
      </c>
    </row>
    <row r="11" spans="1:12" x14ac:dyDescent="0.25">
      <c r="A11" s="4" t="s">
        <v>108</v>
      </c>
      <c r="B11" s="5" t="s">
        <v>109</v>
      </c>
      <c r="C11" s="6">
        <v>20.401666666666664</v>
      </c>
      <c r="D11" s="6">
        <v>20.215</v>
      </c>
      <c r="E11" s="6">
        <v>20.061666666666667</v>
      </c>
      <c r="F11" s="6">
        <v>20.238333333333333</v>
      </c>
      <c r="G11" s="6">
        <v>20.061666666666667</v>
      </c>
      <c r="I11" s="7">
        <v>20.195666666666664</v>
      </c>
      <c r="J11" s="7">
        <v>9.5737875163075595E-2</v>
      </c>
      <c r="K11" s="7">
        <v>0.47405157127639069</v>
      </c>
      <c r="L11" s="7">
        <v>8.3916405567342603E-2</v>
      </c>
    </row>
    <row r="12" spans="1:12" x14ac:dyDescent="0.25">
      <c r="A12" s="4" t="s">
        <v>110</v>
      </c>
      <c r="B12" s="5" t="s">
        <v>111</v>
      </c>
      <c r="C12" s="6">
        <v>20.378333333333334</v>
      </c>
      <c r="D12" s="6">
        <v>20.181666666666668</v>
      </c>
      <c r="E12" s="6">
        <v>20.273333333333337</v>
      </c>
      <c r="F12" s="6">
        <v>20.193333333333332</v>
      </c>
      <c r="G12" s="6">
        <v>20.074999999999999</v>
      </c>
      <c r="I12" s="7">
        <v>20.220333333333336</v>
      </c>
      <c r="J12" s="7">
        <v>8.1473694914145287E-2</v>
      </c>
      <c r="K12" s="7">
        <v>0.40292953420226474</v>
      </c>
      <c r="L12" s="7">
        <v>7.141353005630792E-2</v>
      </c>
    </row>
    <row r="13" spans="1:12" x14ac:dyDescent="0.25">
      <c r="A13" s="4" t="s">
        <v>112</v>
      </c>
      <c r="B13" s="5" t="s">
        <v>113</v>
      </c>
      <c r="C13" s="6">
        <v>20.303333333333335</v>
      </c>
      <c r="D13" s="6">
        <v>20.478333333333335</v>
      </c>
      <c r="E13" s="6">
        <v>19.898333333333333</v>
      </c>
      <c r="F13" s="6">
        <v>20.346666666666668</v>
      </c>
      <c r="G13" s="6">
        <v>20.015000000000001</v>
      </c>
      <c r="I13" s="7">
        <v>20.208333333333336</v>
      </c>
      <c r="J13" s="7">
        <v>0.2727988507361484</v>
      </c>
      <c r="K13" s="7">
        <v>1.3499324572510436</v>
      </c>
      <c r="L13" s="7">
        <v>0.23911434171362039</v>
      </c>
    </row>
    <row r="15" spans="1:12" x14ac:dyDescent="0.25">
      <c r="A15" s="8" t="s">
        <v>114</v>
      </c>
      <c r="B15" s="9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51F9-F731-4B0E-B500-579095997BF5}">
  <dimension ref="A1:C17"/>
  <sheetViews>
    <sheetView workbookViewId="0">
      <selection activeCell="I25" sqref="I25"/>
    </sheetView>
  </sheetViews>
  <sheetFormatPr defaultRowHeight="15" x14ac:dyDescent="0.25"/>
  <cols>
    <col min="2" max="2" width="17.5703125" customWidth="1"/>
  </cols>
  <sheetData>
    <row r="1" spans="1:3" x14ac:dyDescent="0.25">
      <c r="A1" t="s">
        <v>117</v>
      </c>
      <c r="B1" t="s">
        <v>118</v>
      </c>
      <c r="C1" t="s">
        <v>119</v>
      </c>
    </row>
    <row r="3" spans="1:3" x14ac:dyDescent="0.25">
      <c r="A3" s="10">
        <v>1</v>
      </c>
      <c r="B3" s="4" t="s">
        <v>92</v>
      </c>
      <c r="C3" s="7">
        <v>27.15</v>
      </c>
    </row>
    <row r="4" spans="1:3" x14ac:dyDescent="0.25">
      <c r="A4" s="10">
        <v>2</v>
      </c>
      <c r="B4" s="4" t="s">
        <v>94</v>
      </c>
      <c r="C4" s="7">
        <v>26.32</v>
      </c>
    </row>
    <row r="5" spans="1:3" x14ac:dyDescent="0.25">
      <c r="A5" s="10">
        <v>3</v>
      </c>
      <c r="B5" s="4" t="s">
        <v>96</v>
      </c>
      <c r="C5" s="7">
        <v>28.4</v>
      </c>
    </row>
    <row r="6" spans="1:3" x14ac:dyDescent="0.25">
      <c r="A6" s="10">
        <v>4</v>
      </c>
      <c r="B6" s="4" t="s">
        <v>98</v>
      </c>
      <c r="C6" s="7">
        <v>28.05</v>
      </c>
    </row>
    <row r="7" spans="1:3" x14ac:dyDescent="0.25">
      <c r="A7" s="10">
        <v>5</v>
      </c>
      <c r="B7" s="4" t="s">
        <v>100</v>
      </c>
      <c r="C7" s="7">
        <v>26.21</v>
      </c>
    </row>
    <row r="8" spans="1:3" x14ac:dyDescent="0.25">
      <c r="A8" s="10">
        <v>6</v>
      </c>
      <c r="B8" s="4" t="s">
        <v>102</v>
      </c>
      <c r="C8" s="7">
        <v>26.09</v>
      </c>
    </row>
    <row r="9" spans="1:3" x14ac:dyDescent="0.25">
      <c r="A9" s="10">
        <v>7</v>
      </c>
      <c r="B9" s="4" t="s">
        <v>104</v>
      </c>
      <c r="C9" s="7">
        <v>25.67</v>
      </c>
    </row>
    <row r="10" spans="1:3" x14ac:dyDescent="0.25">
      <c r="A10" s="10">
        <v>8</v>
      </c>
      <c r="B10" s="4" t="s">
        <v>106</v>
      </c>
      <c r="C10" s="7">
        <v>26.85</v>
      </c>
    </row>
    <row r="11" spans="1:3" x14ac:dyDescent="0.25">
      <c r="A11" s="10">
        <v>9</v>
      </c>
      <c r="B11" s="4" t="s">
        <v>108</v>
      </c>
      <c r="C11" s="7">
        <v>27.01</v>
      </c>
    </row>
    <row r="12" spans="1:3" x14ac:dyDescent="0.25">
      <c r="A12" s="10">
        <v>10</v>
      </c>
      <c r="B12" s="4" t="s">
        <v>110</v>
      </c>
      <c r="C12" s="7">
        <v>26.31</v>
      </c>
    </row>
    <row r="13" spans="1:3" x14ac:dyDescent="0.25">
      <c r="A13" s="10">
        <v>11</v>
      </c>
      <c r="B13" s="4" t="s">
        <v>112</v>
      </c>
      <c r="C13" s="7">
        <v>25.97</v>
      </c>
    </row>
    <row r="14" spans="1:3" x14ac:dyDescent="0.25">
      <c r="A14" s="10">
        <v>12</v>
      </c>
      <c r="B14" t="s">
        <v>120</v>
      </c>
      <c r="C14" s="7">
        <v>17.73</v>
      </c>
    </row>
    <row r="15" spans="1:3" x14ac:dyDescent="0.25">
      <c r="A15" s="10">
        <v>13</v>
      </c>
      <c r="B15" t="s">
        <v>121</v>
      </c>
      <c r="C15" s="7">
        <v>15.97</v>
      </c>
    </row>
    <row r="17" spans="1:2" x14ac:dyDescent="0.25">
      <c r="A17" s="8" t="s">
        <v>122</v>
      </c>
      <c r="B17" s="1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OFDA Raw Hemp diameter data</vt:lpstr>
      <vt:lpstr>OFDA Raw Hemp fiber dia(Avg) </vt:lpstr>
      <vt:lpstr>Cottonscope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Tesema, Addisu Ferede</dc:creator>
  <cp:lastModifiedBy>Tesema, Addisu Ferede</cp:lastModifiedBy>
  <dcterms:created xsi:type="dcterms:W3CDTF">2025-08-18T18:01:35Z</dcterms:created>
  <dcterms:modified xsi:type="dcterms:W3CDTF">2025-08-18T18:18:58Z</dcterms:modified>
</cp:coreProperties>
</file>