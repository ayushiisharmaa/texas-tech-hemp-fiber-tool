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esema\Desktop\"/>
    </mc:Choice>
  </mc:AlternateContent>
  <xr:revisionPtr revIDLastSave="0" documentId="8_{ADDE2ED5-6036-4460-87AE-47B5117B7829}" xr6:coauthVersionLast="47" xr6:coauthVersionMax="47" xr10:uidLastSave="{00000000-0000-0000-0000-000000000000}"/>
  <bookViews>
    <workbookView xWindow="28680" yWindow="-120" windowWidth="29040" windowHeight="15840" xr2:uid="{7C9A9615-42BD-462D-8143-4FAB75EA90CC}"/>
  </bookViews>
  <sheets>
    <sheet name="OFDA Hemp Diame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8" i="1" l="1"/>
  <c r="E288" i="1"/>
  <c r="D288" i="1"/>
  <c r="C288" i="1"/>
  <c r="F279" i="1"/>
  <c r="E279" i="1"/>
  <c r="D279" i="1"/>
  <c r="C279" i="1"/>
  <c r="F270" i="1"/>
  <c r="E270" i="1"/>
  <c r="D270" i="1"/>
  <c r="C270" i="1"/>
  <c r="F259" i="1"/>
  <c r="E259" i="1"/>
  <c r="D259" i="1"/>
  <c r="C259" i="1"/>
  <c r="F250" i="1"/>
  <c r="E250" i="1"/>
  <c r="D250" i="1"/>
  <c r="C250" i="1"/>
  <c r="F241" i="1"/>
  <c r="E241" i="1"/>
  <c r="D241" i="1"/>
  <c r="C241" i="1"/>
  <c r="F230" i="1"/>
  <c r="E230" i="1"/>
  <c r="D230" i="1"/>
  <c r="C230" i="1"/>
  <c r="F221" i="1"/>
  <c r="E221" i="1"/>
  <c r="D221" i="1"/>
  <c r="C221" i="1"/>
  <c r="F212" i="1"/>
  <c r="E212" i="1"/>
  <c r="D212" i="1"/>
  <c r="C212" i="1"/>
  <c r="F201" i="1"/>
  <c r="E201" i="1"/>
  <c r="D201" i="1"/>
  <c r="C201" i="1"/>
  <c r="F192" i="1"/>
  <c r="E192" i="1"/>
  <c r="D192" i="1"/>
  <c r="C192" i="1"/>
  <c r="F172" i="1"/>
  <c r="E172" i="1"/>
  <c r="D172" i="1"/>
  <c r="C172" i="1"/>
  <c r="F163" i="1"/>
  <c r="E163" i="1"/>
  <c r="D163" i="1"/>
  <c r="C163" i="1"/>
  <c r="F154" i="1"/>
  <c r="E154" i="1"/>
  <c r="D154" i="1"/>
  <c r="C154" i="1"/>
  <c r="F144" i="1"/>
  <c r="E144" i="1"/>
  <c r="D144" i="1"/>
  <c r="C144" i="1"/>
  <c r="F135" i="1"/>
  <c r="E135" i="1"/>
  <c r="D135" i="1"/>
  <c r="C135" i="1"/>
  <c r="F126" i="1"/>
  <c r="E126" i="1"/>
  <c r="D126" i="1"/>
  <c r="C126" i="1"/>
  <c r="F114" i="1"/>
  <c r="E114" i="1"/>
  <c r="D114" i="1"/>
  <c r="C114" i="1"/>
  <c r="F105" i="1"/>
  <c r="E105" i="1"/>
  <c r="D105" i="1"/>
  <c r="C105" i="1"/>
  <c r="F96" i="1"/>
  <c r="E96" i="1"/>
  <c r="D96" i="1"/>
  <c r="C96" i="1"/>
  <c r="F86" i="1"/>
  <c r="E86" i="1"/>
  <c r="D86" i="1"/>
  <c r="C86" i="1"/>
  <c r="F77" i="1"/>
  <c r="E77" i="1"/>
  <c r="D77" i="1"/>
  <c r="C77" i="1"/>
  <c r="F68" i="1"/>
  <c r="E68" i="1"/>
  <c r="D68" i="1"/>
  <c r="C68" i="1"/>
  <c r="F57" i="1"/>
  <c r="E57" i="1"/>
  <c r="D57" i="1"/>
  <c r="C57" i="1"/>
  <c r="F48" i="1"/>
  <c r="E48" i="1"/>
  <c r="D48" i="1"/>
  <c r="C48" i="1"/>
  <c r="F39" i="1"/>
  <c r="E39" i="1"/>
  <c r="D39" i="1"/>
  <c r="C39" i="1"/>
  <c r="F28" i="1"/>
  <c r="E28" i="1"/>
  <c r="D28" i="1"/>
  <c r="C28" i="1"/>
  <c r="F19" i="1"/>
  <c r="E19" i="1"/>
  <c r="D19" i="1"/>
  <c r="C19" i="1"/>
  <c r="F10" i="1"/>
  <c r="E10" i="1"/>
  <c r="D10" i="1"/>
  <c r="C10" i="1"/>
</calcChain>
</file>

<file path=xl/sharedStrings.xml><?xml version="1.0" encoding="utf-8"?>
<sst xmlns="http://schemas.openxmlformats.org/spreadsheetml/2006/main" count="406" uniqueCount="60">
  <si>
    <t>SampleID</t>
  </si>
  <si>
    <t xml:space="preserve"> Description</t>
  </si>
  <si>
    <t xml:space="preserve"> meanD</t>
  </si>
  <si>
    <t xml:space="preserve"> numD</t>
  </si>
  <si>
    <t>temp C</t>
  </si>
  <si>
    <t>RH%</t>
  </si>
  <si>
    <t>Day 01</t>
  </si>
  <si>
    <t>Hemp_Cf_01</t>
  </si>
  <si>
    <t>Cottonized Hemp Fiber (White_China) _Slide mode</t>
  </si>
  <si>
    <t>Hemp_Cf_02</t>
  </si>
  <si>
    <t>Hemp_Cf_03</t>
  </si>
  <si>
    <t>Hemp_Cf_04</t>
  </si>
  <si>
    <t>Hemp_Cf_05</t>
  </si>
  <si>
    <t>Hemp_Cf_06</t>
  </si>
  <si>
    <t xml:space="preserve">Average </t>
  </si>
  <si>
    <t>Hemp_D_Cf_01</t>
  </si>
  <si>
    <t>Degummed Hemp Fiber (F-DG1_China) _Slide mode</t>
  </si>
  <si>
    <t>Hemp_D_Cf_02</t>
  </si>
  <si>
    <t>Hemp_D_Cf_03</t>
  </si>
  <si>
    <t>Hemp_D_Cf_04</t>
  </si>
  <si>
    <t>Hemp_D_Cf_05</t>
  </si>
  <si>
    <t>Hemp_D_Cf_06</t>
  </si>
  <si>
    <t>Hemp_DL_Cf_01</t>
  </si>
  <si>
    <t>Delignified Hemp Fiber (FBRI) _Slide mode</t>
  </si>
  <si>
    <t>Hemp_DL_Cf_02</t>
  </si>
  <si>
    <t>Hemp_DL_Cf_03</t>
  </si>
  <si>
    <t>Hemp_DL_Cf_04</t>
  </si>
  <si>
    <t>Hemp_DL_Cf_05</t>
  </si>
  <si>
    <t>Hemp_DL_Cf_06</t>
  </si>
  <si>
    <t>Day 02</t>
  </si>
  <si>
    <t>Day 03</t>
  </si>
  <si>
    <t>Cottonized Hemp Fiber (White-China) -Slide mode</t>
  </si>
  <si>
    <t>Degummed Hemp Fiber (F-DG1_China) -Slide mode</t>
  </si>
  <si>
    <t>Delignified Hemp Fiber (FBRI) -Slide mode</t>
  </si>
  <si>
    <t>Day 04</t>
  </si>
  <si>
    <t>Cottonized Hemp Fiber (White_China) -Slide mode</t>
  </si>
  <si>
    <t>Day 05</t>
  </si>
  <si>
    <t>Hemp_ND_Sf_01</t>
  </si>
  <si>
    <t>Not Degummed Hemp Fiber (Short) - Slide mode</t>
  </si>
  <si>
    <t>Hemp_ND_Sf_02</t>
  </si>
  <si>
    <t>Hemp_ND_Sf_03</t>
  </si>
  <si>
    <t>Hemp_ND_Sf_04</t>
  </si>
  <si>
    <t>Hemp_ND_Sf_05</t>
  </si>
  <si>
    <t>Hemp_ND_Sf_06</t>
  </si>
  <si>
    <t>Hemp_ND_Mf_01</t>
  </si>
  <si>
    <t>Not Degummed Hemp Fiber (Middle) - Slide mode</t>
  </si>
  <si>
    <t>Hemp_ND_Mf_02</t>
  </si>
  <si>
    <t>Hemp_ND_Mf_03</t>
  </si>
  <si>
    <t>Hemp_ND_Mf_04</t>
  </si>
  <si>
    <t>Hemp_ND_Mf_05</t>
  </si>
  <si>
    <t>Hemp_ND_Mf_06</t>
  </si>
  <si>
    <t>Hemp_ND_Lf_01</t>
  </si>
  <si>
    <t>Not Degummed Hemp Fiber (Long) - Slide mode</t>
  </si>
  <si>
    <t>Hemp_ND_Lf_02</t>
  </si>
  <si>
    <t>Hemp_ND_Lf_03</t>
  </si>
  <si>
    <t>Hemp_ND_Lf_04</t>
  </si>
  <si>
    <t>Hemp_ND_Lf_05</t>
  </si>
  <si>
    <t>Hemp_ND_Lf_06</t>
  </si>
  <si>
    <t>Cottonized Hemp Fiber _Slide mode</t>
  </si>
  <si>
    <t>Degummed Hemp Fiber _Slide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</si>
</sst>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imes New Roman"/>
      <family val="2"/>
    </font>
    <font>
      <i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2" fontId="1" fillId="0" borderId="0" xfId="0" applyNumberFormat="1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5CCB0-FFE1-45FE-BA60-27007BA62E3A}">
  <dimension ref="A1:F288"/>
  <sheetViews>
    <sheetView tabSelected="1" workbookViewId="0">
      <selection activeCell="L8" sqref="L8"/>
    </sheetView>
  </sheetViews>
  <sheetFormatPr defaultRowHeight="15" x14ac:dyDescent="0.25"/>
  <cols>
    <col min="1" max="1" width="26.140625" customWidth="1"/>
    <col min="2" max="2" width="47.28515625" bestFit="1" customWidth="1"/>
    <col min="4" max="4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</row>
    <row r="3" spans="1:6" x14ac:dyDescent="0.25">
      <c r="A3" t="s">
        <v>7</v>
      </c>
      <c r="B3" t="s">
        <v>58</v>
      </c>
      <c r="C3">
        <v>10.97</v>
      </c>
      <c r="D3">
        <v>16860</v>
      </c>
      <c r="E3">
        <v>22</v>
      </c>
      <c r="F3">
        <v>69</v>
      </c>
    </row>
    <row r="4" spans="1:6" x14ac:dyDescent="0.25">
      <c r="A4" t="s">
        <v>9</v>
      </c>
      <c r="B4" t="s">
        <v>58</v>
      </c>
      <c r="C4">
        <v>11.14</v>
      </c>
      <c r="D4">
        <v>15842</v>
      </c>
      <c r="E4">
        <v>22</v>
      </c>
      <c r="F4">
        <v>69</v>
      </c>
    </row>
    <row r="5" spans="1:6" x14ac:dyDescent="0.25">
      <c r="A5" t="s">
        <v>10</v>
      </c>
      <c r="B5" t="s">
        <v>58</v>
      </c>
      <c r="C5">
        <v>11.23</v>
      </c>
      <c r="D5">
        <v>18023</v>
      </c>
      <c r="E5">
        <v>22</v>
      </c>
      <c r="F5">
        <v>69</v>
      </c>
    </row>
    <row r="6" spans="1:6" x14ac:dyDescent="0.25">
      <c r="A6" t="s">
        <v>11</v>
      </c>
      <c r="B6" t="s">
        <v>58</v>
      </c>
      <c r="C6">
        <v>11.18</v>
      </c>
      <c r="D6">
        <v>17400</v>
      </c>
      <c r="E6">
        <v>22</v>
      </c>
      <c r="F6">
        <v>69</v>
      </c>
    </row>
    <row r="7" spans="1:6" x14ac:dyDescent="0.25">
      <c r="A7" t="s">
        <v>12</v>
      </c>
      <c r="B7" t="s">
        <v>58</v>
      </c>
      <c r="C7">
        <v>11.16</v>
      </c>
      <c r="D7">
        <v>16341</v>
      </c>
      <c r="E7">
        <v>22</v>
      </c>
      <c r="F7">
        <v>71</v>
      </c>
    </row>
    <row r="8" spans="1:6" x14ac:dyDescent="0.25">
      <c r="A8" t="s">
        <v>13</v>
      </c>
      <c r="B8" t="s">
        <v>58</v>
      </c>
      <c r="C8">
        <v>11.17</v>
      </c>
      <c r="D8">
        <v>16932</v>
      </c>
      <c r="E8">
        <v>22</v>
      </c>
      <c r="F8">
        <v>69</v>
      </c>
    </row>
    <row r="10" spans="1:6" s="2" customFormat="1" x14ac:dyDescent="0.25">
      <c r="B10" s="2" t="s">
        <v>14</v>
      </c>
      <c r="C10" s="3">
        <f t="shared" ref="C10" si="0">AVERAGE(C3:C8)</f>
        <v>11.141666666666667</v>
      </c>
      <c r="D10" s="3">
        <f t="shared" ref="D10:F10" si="1">AVERAGE(D3:D8)</f>
        <v>16899.666666666668</v>
      </c>
      <c r="E10" s="3">
        <f t="shared" si="1"/>
        <v>22</v>
      </c>
      <c r="F10" s="3">
        <f t="shared" si="1"/>
        <v>69.333333333333329</v>
      </c>
    </row>
    <row r="12" spans="1:6" x14ac:dyDescent="0.25">
      <c r="A12" t="s">
        <v>15</v>
      </c>
      <c r="B12" t="s">
        <v>59</v>
      </c>
      <c r="C12">
        <v>12.43</v>
      </c>
      <c r="D12">
        <v>14006</v>
      </c>
      <c r="E12">
        <v>22</v>
      </c>
      <c r="F12">
        <v>68</v>
      </c>
    </row>
    <row r="13" spans="1:6" x14ac:dyDescent="0.25">
      <c r="A13" t="s">
        <v>17</v>
      </c>
      <c r="B13" t="s">
        <v>59</v>
      </c>
      <c r="C13">
        <v>12.43</v>
      </c>
      <c r="D13">
        <v>14309</v>
      </c>
      <c r="E13">
        <v>22</v>
      </c>
      <c r="F13">
        <v>68</v>
      </c>
    </row>
    <row r="14" spans="1:6" x14ac:dyDescent="0.25">
      <c r="A14" t="s">
        <v>18</v>
      </c>
      <c r="B14" t="s">
        <v>59</v>
      </c>
      <c r="C14">
        <v>12.4</v>
      </c>
      <c r="D14">
        <v>12446</v>
      </c>
      <c r="E14">
        <v>22</v>
      </c>
      <c r="F14">
        <v>68</v>
      </c>
    </row>
    <row r="15" spans="1:6" x14ac:dyDescent="0.25">
      <c r="A15" t="s">
        <v>19</v>
      </c>
      <c r="B15" t="s">
        <v>59</v>
      </c>
      <c r="C15">
        <v>12.5</v>
      </c>
      <c r="D15">
        <v>13789</v>
      </c>
      <c r="E15">
        <v>22</v>
      </c>
      <c r="F15">
        <v>67</v>
      </c>
    </row>
    <row r="16" spans="1:6" x14ac:dyDescent="0.25">
      <c r="A16" t="s">
        <v>20</v>
      </c>
      <c r="B16" t="s">
        <v>59</v>
      </c>
      <c r="C16">
        <v>12.46</v>
      </c>
      <c r="D16">
        <v>13223</v>
      </c>
      <c r="E16">
        <v>22</v>
      </c>
      <c r="F16">
        <v>66</v>
      </c>
    </row>
    <row r="17" spans="1:6" x14ac:dyDescent="0.25">
      <c r="A17" t="s">
        <v>21</v>
      </c>
      <c r="B17" t="s">
        <v>59</v>
      </c>
      <c r="C17">
        <v>12.35</v>
      </c>
      <c r="D17">
        <v>13658</v>
      </c>
      <c r="E17">
        <v>22</v>
      </c>
      <c r="F17">
        <v>68</v>
      </c>
    </row>
    <row r="19" spans="1:6" s="2" customFormat="1" x14ac:dyDescent="0.25">
      <c r="B19" s="2" t="s">
        <v>14</v>
      </c>
      <c r="C19" s="3">
        <f t="shared" ref="C19" si="2">AVERAGE(C12:C17)</f>
        <v>12.428333333333333</v>
      </c>
      <c r="D19" s="3">
        <f t="shared" ref="D19:F19" si="3">AVERAGE(D12:D17)</f>
        <v>13571.833333333334</v>
      </c>
      <c r="E19" s="3">
        <f t="shared" si="3"/>
        <v>22</v>
      </c>
      <c r="F19" s="3">
        <f t="shared" si="3"/>
        <v>67.5</v>
      </c>
    </row>
    <row r="21" spans="1:6" x14ac:dyDescent="0.25">
      <c r="A21" t="s">
        <v>22</v>
      </c>
      <c r="B21" t="s">
        <v>23</v>
      </c>
      <c r="C21">
        <v>21.77</v>
      </c>
      <c r="D21">
        <v>4820</v>
      </c>
      <c r="E21">
        <v>22</v>
      </c>
      <c r="F21">
        <v>69</v>
      </c>
    </row>
    <row r="22" spans="1:6" x14ac:dyDescent="0.25">
      <c r="A22" t="s">
        <v>24</v>
      </c>
      <c r="B22" t="s">
        <v>23</v>
      </c>
      <c r="C22">
        <v>21.31</v>
      </c>
      <c r="D22">
        <v>4616</v>
      </c>
      <c r="E22">
        <v>22</v>
      </c>
      <c r="F22">
        <v>68</v>
      </c>
    </row>
    <row r="23" spans="1:6" x14ac:dyDescent="0.25">
      <c r="A23" t="s">
        <v>25</v>
      </c>
      <c r="B23" t="s">
        <v>23</v>
      </c>
      <c r="C23">
        <v>22.37</v>
      </c>
      <c r="D23">
        <v>5013</v>
      </c>
      <c r="E23">
        <v>22</v>
      </c>
      <c r="F23">
        <v>68</v>
      </c>
    </row>
    <row r="24" spans="1:6" x14ac:dyDescent="0.25">
      <c r="A24" t="s">
        <v>26</v>
      </c>
      <c r="B24" t="s">
        <v>23</v>
      </c>
      <c r="C24">
        <v>21.8</v>
      </c>
      <c r="D24">
        <v>4852</v>
      </c>
      <c r="E24">
        <v>22</v>
      </c>
      <c r="F24">
        <v>68</v>
      </c>
    </row>
    <row r="25" spans="1:6" x14ac:dyDescent="0.25">
      <c r="A25" t="s">
        <v>27</v>
      </c>
      <c r="B25" t="s">
        <v>23</v>
      </c>
      <c r="C25">
        <v>20.87</v>
      </c>
      <c r="D25">
        <v>5806</v>
      </c>
      <c r="E25">
        <v>22</v>
      </c>
      <c r="F25">
        <v>68</v>
      </c>
    </row>
    <row r="26" spans="1:6" x14ac:dyDescent="0.25">
      <c r="A26" t="s">
        <v>28</v>
      </c>
      <c r="B26" t="s">
        <v>23</v>
      </c>
      <c r="C26">
        <v>21.38</v>
      </c>
      <c r="D26">
        <v>5767</v>
      </c>
      <c r="E26">
        <v>22</v>
      </c>
      <c r="F26">
        <v>68</v>
      </c>
    </row>
    <row r="28" spans="1:6" s="2" customFormat="1" x14ac:dyDescent="0.25">
      <c r="B28" s="2" t="s">
        <v>14</v>
      </c>
      <c r="C28" s="3">
        <f t="shared" ref="C28" si="4">AVERAGE(C21:C26)</f>
        <v>21.583333333333332</v>
      </c>
      <c r="D28" s="3">
        <f t="shared" ref="D28:F28" si="5">AVERAGE(D21:D26)</f>
        <v>5145.666666666667</v>
      </c>
      <c r="E28" s="3">
        <f t="shared" si="5"/>
        <v>22</v>
      </c>
      <c r="F28" s="3">
        <f t="shared" si="5"/>
        <v>68.166666666666671</v>
      </c>
    </row>
    <row r="30" spans="1:6" s="2" customFormat="1" x14ac:dyDescent="0.25">
      <c r="C30" s="3"/>
      <c r="D30" s="3"/>
      <c r="E30" s="3"/>
      <c r="F30" s="3"/>
    </row>
    <row r="31" spans="1:6" x14ac:dyDescent="0.25">
      <c r="A31" s="1" t="s">
        <v>29</v>
      </c>
    </row>
    <row r="32" spans="1:6" x14ac:dyDescent="0.25">
      <c r="A32" t="s">
        <v>7</v>
      </c>
      <c r="B32" t="s">
        <v>8</v>
      </c>
      <c r="C32">
        <v>11.13</v>
      </c>
      <c r="D32">
        <v>17452</v>
      </c>
      <c r="E32">
        <v>23</v>
      </c>
      <c r="F32">
        <v>67</v>
      </c>
    </row>
    <row r="33" spans="1:6" x14ac:dyDescent="0.25">
      <c r="A33" t="s">
        <v>9</v>
      </c>
      <c r="B33" t="s">
        <v>8</v>
      </c>
      <c r="C33">
        <v>11.2</v>
      </c>
      <c r="D33">
        <v>16736</v>
      </c>
      <c r="E33">
        <v>22</v>
      </c>
      <c r="F33">
        <v>66</v>
      </c>
    </row>
    <row r="34" spans="1:6" x14ac:dyDescent="0.25">
      <c r="A34" t="s">
        <v>10</v>
      </c>
      <c r="B34" t="s">
        <v>8</v>
      </c>
      <c r="C34">
        <v>11.04</v>
      </c>
      <c r="D34">
        <v>16177</v>
      </c>
      <c r="E34">
        <v>23</v>
      </c>
      <c r="F34">
        <v>66</v>
      </c>
    </row>
    <row r="35" spans="1:6" x14ac:dyDescent="0.25">
      <c r="A35" t="s">
        <v>11</v>
      </c>
      <c r="B35" t="s">
        <v>8</v>
      </c>
      <c r="C35">
        <v>10.94</v>
      </c>
      <c r="D35">
        <v>15324</v>
      </c>
      <c r="E35">
        <v>23</v>
      </c>
      <c r="F35">
        <v>67</v>
      </c>
    </row>
    <row r="36" spans="1:6" x14ac:dyDescent="0.25">
      <c r="A36" t="s">
        <v>12</v>
      </c>
      <c r="B36" t="s">
        <v>8</v>
      </c>
      <c r="C36">
        <v>11.16</v>
      </c>
      <c r="D36">
        <v>17744</v>
      </c>
      <c r="E36">
        <v>23</v>
      </c>
      <c r="F36">
        <v>66</v>
      </c>
    </row>
    <row r="37" spans="1:6" x14ac:dyDescent="0.25">
      <c r="A37" t="s">
        <v>13</v>
      </c>
      <c r="B37" t="s">
        <v>8</v>
      </c>
      <c r="C37">
        <v>11.33</v>
      </c>
      <c r="D37">
        <v>17925</v>
      </c>
      <c r="E37">
        <v>23</v>
      </c>
      <c r="F37">
        <v>67</v>
      </c>
    </row>
    <row r="39" spans="1:6" s="2" customFormat="1" x14ac:dyDescent="0.25">
      <c r="B39" s="2" t="s">
        <v>14</v>
      </c>
      <c r="C39" s="3">
        <f t="shared" ref="C39" si="6">AVERAGE(C32:C37)</f>
        <v>11.133333333333333</v>
      </c>
      <c r="D39" s="3">
        <f t="shared" ref="D39:F39" si="7">AVERAGE(D32:D37)</f>
        <v>16893</v>
      </c>
      <c r="E39" s="3">
        <f t="shared" si="7"/>
        <v>22.833333333333332</v>
      </c>
      <c r="F39" s="3">
        <f t="shared" si="7"/>
        <v>66.5</v>
      </c>
    </row>
    <row r="41" spans="1:6" x14ac:dyDescent="0.25">
      <c r="A41" t="s">
        <v>15</v>
      </c>
      <c r="B41" t="s">
        <v>16</v>
      </c>
      <c r="C41">
        <v>12.24</v>
      </c>
      <c r="D41">
        <v>13476</v>
      </c>
      <c r="E41">
        <v>22</v>
      </c>
      <c r="F41">
        <v>66</v>
      </c>
    </row>
    <row r="42" spans="1:6" x14ac:dyDescent="0.25">
      <c r="A42" t="s">
        <v>17</v>
      </c>
      <c r="B42" t="s">
        <v>16</v>
      </c>
      <c r="C42">
        <v>12.45</v>
      </c>
      <c r="D42">
        <v>14524</v>
      </c>
      <c r="E42">
        <v>22</v>
      </c>
      <c r="F42">
        <v>66</v>
      </c>
    </row>
    <row r="43" spans="1:6" x14ac:dyDescent="0.25">
      <c r="A43" t="s">
        <v>18</v>
      </c>
      <c r="B43" t="s">
        <v>16</v>
      </c>
      <c r="C43">
        <v>12.46</v>
      </c>
      <c r="D43">
        <v>13497</v>
      </c>
      <c r="E43">
        <v>23</v>
      </c>
      <c r="F43">
        <v>66</v>
      </c>
    </row>
    <row r="44" spans="1:6" x14ac:dyDescent="0.25">
      <c r="A44" t="s">
        <v>19</v>
      </c>
      <c r="B44" t="s">
        <v>16</v>
      </c>
      <c r="C44">
        <v>12.43</v>
      </c>
      <c r="D44">
        <v>15006</v>
      </c>
      <c r="E44">
        <v>23</v>
      </c>
      <c r="F44">
        <v>65</v>
      </c>
    </row>
    <row r="45" spans="1:6" x14ac:dyDescent="0.25">
      <c r="A45" t="s">
        <v>20</v>
      </c>
      <c r="B45" t="s">
        <v>16</v>
      </c>
      <c r="C45">
        <v>12.61</v>
      </c>
      <c r="D45">
        <v>13507</v>
      </c>
      <c r="E45">
        <v>22</v>
      </c>
      <c r="F45">
        <v>66</v>
      </c>
    </row>
    <row r="46" spans="1:6" x14ac:dyDescent="0.25">
      <c r="A46" t="s">
        <v>21</v>
      </c>
      <c r="B46" t="s">
        <v>16</v>
      </c>
      <c r="C46">
        <v>12.45</v>
      </c>
      <c r="D46">
        <v>15084</v>
      </c>
      <c r="E46">
        <v>22</v>
      </c>
      <c r="F46">
        <v>65</v>
      </c>
    </row>
    <row r="48" spans="1:6" s="2" customFormat="1" x14ac:dyDescent="0.25">
      <c r="B48" s="2" t="s">
        <v>14</v>
      </c>
      <c r="C48" s="3">
        <f t="shared" ref="C48" si="8">AVERAGE(C41:C46)</f>
        <v>12.44</v>
      </c>
      <c r="D48" s="3">
        <f t="shared" ref="D48:F48" si="9">AVERAGE(D41:D46)</f>
        <v>14182.333333333334</v>
      </c>
      <c r="E48" s="3">
        <f t="shared" si="9"/>
        <v>22.333333333333332</v>
      </c>
      <c r="F48" s="3">
        <f t="shared" si="9"/>
        <v>65.666666666666671</v>
      </c>
    </row>
    <row r="50" spans="1:6" x14ac:dyDescent="0.25">
      <c r="A50" t="s">
        <v>22</v>
      </c>
      <c r="B50" t="s">
        <v>23</v>
      </c>
      <c r="C50">
        <v>20.61</v>
      </c>
      <c r="D50">
        <v>5984</v>
      </c>
      <c r="E50">
        <v>23</v>
      </c>
      <c r="F50">
        <v>65</v>
      </c>
    </row>
    <row r="51" spans="1:6" x14ac:dyDescent="0.25">
      <c r="A51" t="s">
        <v>24</v>
      </c>
      <c r="B51" t="s">
        <v>23</v>
      </c>
      <c r="C51">
        <v>20.59</v>
      </c>
      <c r="D51">
        <v>5951</v>
      </c>
      <c r="E51">
        <v>23</v>
      </c>
      <c r="F51">
        <v>66</v>
      </c>
    </row>
    <row r="52" spans="1:6" x14ac:dyDescent="0.25">
      <c r="A52" t="s">
        <v>25</v>
      </c>
      <c r="B52" t="s">
        <v>23</v>
      </c>
      <c r="C52">
        <v>20.7</v>
      </c>
      <c r="D52">
        <v>6076</v>
      </c>
      <c r="E52">
        <v>23</v>
      </c>
      <c r="F52">
        <v>65</v>
      </c>
    </row>
    <row r="53" spans="1:6" x14ac:dyDescent="0.25">
      <c r="A53" t="s">
        <v>26</v>
      </c>
      <c r="B53" t="s">
        <v>23</v>
      </c>
      <c r="C53">
        <v>20.100000000000001</v>
      </c>
      <c r="D53">
        <v>6071</v>
      </c>
      <c r="E53">
        <v>23</v>
      </c>
      <c r="F53">
        <v>66</v>
      </c>
    </row>
    <row r="54" spans="1:6" x14ac:dyDescent="0.25">
      <c r="A54" t="s">
        <v>27</v>
      </c>
      <c r="B54" t="s">
        <v>23</v>
      </c>
      <c r="C54">
        <v>20.6</v>
      </c>
      <c r="D54">
        <v>5774</v>
      </c>
      <c r="E54">
        <v>22</v>
      </c>
      <c r="F54">
        <v>66</v>
      </c>
    </row>
    <row r="55" spans="1:6" x14ac:dyDescent="0.25">
      <c r="A55" t="s">
        <v>28</v>
      </c>
      <c r="B55" t="s">
        <v>23</v>
      </c>
      <c r="C55">
        <v>21.18</v>
      </c>
      <c r="D55">
        <v>5349</v>
      </c>
      <c r="E55">
        <v>23</v>
      </c>
      <c r="F55">
        <v>66</v>
      </c>
    </row>
    <row r="57" spans="1:6" s="2" customFormat="1" x14ac:dyDescent="0.25">
      <c r="B57" s="2" t="s">
        <v>14</v>
      </c>
      <c r="C57" s="3">
        <f t="shared" ref="C57" si="10">AVERAGE(C50:C55)</f>
        <v>20.63</v>
      </c>
      <c r="D57" s="3">
        <f t="shared" ref="D57:F57" si="11">AVERAGE(D50:D55)</f>
        <v>5867.5</v>
      </c>
      <c r="E57" s="3">
        <f t="shared" si="11"/>
        <v>22.833333333333332</v>
      </c>
      <c r="F57" s="3">
        <f t="shared" si="11"/>
        <v>65.666666666666671</v>
      </c>
    </row>
    <row r="58" spans="1:6" s="2" customFormat="1" x14ac:dyDescent="0.25">
      <c r="C58" s="3"/>
      <c r="D58" s="3"/>
      <c r="E58" s="3"/>
      <c r="F58" s="3"/>
    </row>
    <row r="59" spans="1:6" s="2" customFormat="1" x14ac:dyDescent="0.25">
      <c r="C59" s="3"/>
      <c r="D59" s="3"/>
      <c r="E59" s="3"/>
      <c r="F59" s="3"/>
    </row>
    <row r="60" spans="1:6" x14ac:dyDescent="0.25">
      <c r="A60" s="1" t="s">
        <v>30</v>
      </c>
    </row>
    <row r="61" spans="1:6" x14ac:dyDescent="0.25">
      <c r="A61" t="s">
        <v>7</v>
      </c>
      <c r="B61" t="s">
        <v>31</v>
      </c>
      <c r="C61">
        <v>11.61</v>
      </c>
      <c r="D61">
        <v>15639</v>
      </c>
      <c r="E61">
        <v>21</v>
      </c>
      <c r="F61">
        <v>70</v>
      </c>
    </row>
    <row r="62" spans="1:6" x14ac:dyDescent="0.25">
      <c r="A62" t="s">
        <v>9</v>
      </c>
      <c r="B62" t="s">
        <v>31</v>
      </c>
      <c r="C62">
        <v>11.43</v>
      </c>
      <c r="D62">
        <v>14766</v>
      </c>
      <c r="E62">
        <v>22</v>
      </c>
      <c r="F62">
        <v>70</v>
      </c>
    </row>
    <row r="63" spans="1:6" x14ac:dyDescent="0.25">
      <c r="A63" t="s">
        <v>10</v>
      </c>
      <c r="B63" t="s">
        <v>31</v>
      </c>
      <c r="C63">
        <v>11.4</v>
      </c>
      <c r="D63">
        <v>15134</v>
      </c>
      <c r="E63">
        <v>22</v>
      </c>
      <c r="F63">
        <v>71</v>
      </c>
    </row>
    <row r="64" spans="1:6" x14ac:dyDescent="0.25">
      <c r="A64" t="s">
        <v>11</v>
      </c>
      <c r="B64" t="s">
        <v>31</v>
      </c>
      <c r="C64">
        <v>11.56</v>
      </c>
      <c r="D64">
        <v>14645</v>
      </c>
      <c r="E64">
        <v>22</v>
      </c>
      <c r="F64">
        <v>69</v>
      </c>
    </row>
    <row r="65" spans="1:6" x14ac:dyDescent="0.25">
      <c r="A65" t="s">
        <v>12</v>
      </c>
      <c r="B65" t="s">
        <v>31</v>
      </c>
      <c r="C65">
        <v>11.65</v>
      </c>
      <c r="D65">
        <v>15851</v>
      </c>
      <c r="E65">
        <v>22</v>
      </c>
      <c r="F65">
        <v>69</v>
      </c>
    </row>
    <row r="66" spans="1:6" x14ac:dyDescent="0.25">
      <c r="A66" t="s">
        <v>13</v>
      </c>
      <c r="B66" t="s">
        <v>31</v>
      </c>
      <c r="C66">
        <v>11.5</v>
      </c>
      <c r="D66">
        <v>16568</v>
      </c>
      <c r="E66">
        <v>23</v>
      </c>
      <c r="F66">
        <v>69</v>
      </c>
    </row>
    <row r="68" spans="1:6" s="2" customFormat="1" x14ac:dyDescent="0.25">
      <c r="B68" s="2" t="s">
        <v>14</v>
      </c>
      <c r="C68" s="3">
        <f t="shared" ref="C68" si="12">AVERAGE(C61:C66)</f>
        <v>11.525</v>
      </c>
      <c r="D68" s="3">
        <f t="shared" ref="D68:F68" si="13">AVERAGE(D61:D66)</f>
        <v>15433.833333333334</v>
      </c>
      <c r="E68" s="3">
        <f t="shared" si="13"/>
        <v>22</v>
      </c>
      <c r="F68" s="3">
        <f t="shared" si="13"/>
        <v>69.666666666666671</v>
      </c>
    </row>
    <row r="70" spans="1:6" x14ac:dyDescent="0.25">
      <c r="A70" t="s">
        <v>15</v>
      </c>
      <c r="B70" t="s">
        <v>32</v>
      </c>
      <c r="C70">
        <v>12.44</v>
      </c>
      <c r="D70">
        <v>14783</v>
      </c>
      <c r="E70">
        <v>22</v>
      </c>
      <c r="F70">
        <v>67</v>
      </c>
    </row>
    <row r="71" spans="1:6" x14ac:dyDescent="0.25">
      <c r="A71" t="s">
        <v>17</v>
      </c>
      <c r="B71" t="s">
        <v>32</v>
      </c>
      <c r="C71">
        <v>12.52</v>
      </c>
      <c r="D71">
        <v>12746</v>
      </c>
      <c r="E71">
        <v>22</v>
      </c>
      <c r="F71">
        <v>69</v>
      </c>
    </row>
    <row r="72" spans="1:6" x14ac:dyDescent="0.25">
      <c r="A72" t="s">
        <v>18</v>
      </c>
      <c r="B72" t="s">
        <v>32</v>
      </c>
      <c r="C72">
        <v>12.15</v>
      </c>
      <c r="D72">
        <v>14550</v>
      </c>
      <c r="E72">
        <v>22</v>
      </c>
      <c r="F72">
        <v>67</v>
      </c>
    </row>
    <row r="73" spans="1:6" x14ac:dyDescent="0.25">
      <c r="A73" t="s">
        <v>19</v>
      </c>
      <c r="B73" t="s">
        <v>32</v>
      </c>
      <c r="C73">
        <v>12.19</v>
      </c>
      <c r="D73">
        <v>14143</v>
      </c>
      <c r="E73">
        <v>22</v>
      </c>
      <c r="F73">
        <v>68</v>
      </c>
    </row>
    <row r="74" spans="1:6" x14ac:dyDescent="0.25">
      <c r="A74" t="s">
        <v>20</v>
      </c>
      <c r="B74" t="s">
        <v>32</v>
      </c>
      <c r="C74">
        <v>12.13</v>
      </c>
      <c r="D74">
        <v>15551</v>
      </c>
      <c r="E74">
        <v>22</v>
      </c>
      <c r="F74">
        <v>68</v>
      </c>
    </row>
    <row r="75" spans="1:6" x14ac:dyDescent="0.25">
      <c r="A75" t="s">
        <v>21</v>
      </c>
      <c r="B75" t="s">
        <v>32</v>
      </c>
      <c r="C75">
        <v>12.19</v>
      </c>
      <c r="D75">
        <v>15064</v>
      </c>
      <c r="E75">
        <v>22</v>
      </c>
      <c r="F75">
        <v>68</v>
      </c>
    </row>
    <row r="77" spans="1:6" s="2" customFormat="1" x14ac:dyDescent="0.25">
      <c r="B77" s="2" t="s">
        <v>14</v>
      </c>
      <c r="C77" s="3">
        <f t="shared" ref="C77" si="14">AVERAGE(C70:C75)</f>
        <v>12.270000000000001</v>
      </c>
      <c r="D77" s="3">
        <f t="shared" ref="D77:F77" si="15">AVERAGE(D70:D75)</f>
        <v>14472.833333333334</v>
      </c>
      <c r="E77" s="3">
        <f t="shared" si="15"/>
        <v>22</v>
      </c>
      <c r="F77" s="3">
        <f t="shared" si="15"/>
        <v>67.833333333333329</v>
      </c>
    </row>
    <row r="79" spans="1:6" x14ac:dyDescent="0.25">
      <c r="A79" t="s">
        <v>22</v>
      </c>
      <c r="B79" t="s">
        <v>33</v>
      </c>
      <c r="C79">
        <v>21.17</v>
      </c>
      <c r="D79">
        <v>4479</v>
      </c>
      <c r="E79">
        <v>22</v>
      </c>
      <c r="F79">
        <v>68</v>
      </c>
    </row>
    <row r="80" spans="1:6" x14ac:dyDescent="0.25">
      <c r="A80" t="s">
        <v>24</v>
      </c>
      <c r="B80" t="s">
        <v>33</v>
      </c>
      <c r="C80">
        <v>20.58</v>
      </c>
      <c r="D80">
        <v>5685</v>
      </c>
      <c r="E80">
        <v>22</v>
      </c>
      <c r="F80">
        <v>66</v>
      </c>
    </row>
    <row r="81" spans="1:6" x14ac:dyDescent="0.25">
      <c r="A81" t="s">
        <v>25</v>
      </c>
      <c r="B81" t="s">
        <v>33</v>
      </c>
      <c r="C81">
        <v>20.55</v>
      </c>
      <c r="D81">
        <v>5374</v>
      </c>
      <c r="E81">
        <v>22</v>
      </c>
      <c r="F81">
        <v>66</v>
      </c>
    </row>
    <row r="82" spans="1:6" x14ac:dyDescent="0.25">
      <c r="A82" t="s">
        <v>26</v>
      </c>
      <c r="B82" t="s">
        <v>33</v>
      </c>
      <c r="C82">
        <v>20.28</v>
      </c>
      <c r="D82">
        <v>5880</v>
      </c>
      <c r="E82">
        <v>22</v>
      </c>
      <c r="F82">
        <v>67</v>
      </c>
    </row>
    <row r="83" spans="1:6" x14ac:dyDescent="0.25">
      <c r="A83" t="s">
        <v>27</v>
      </c>
      <c r="B83" t="s">
        <v>33</v>
      </c>
      <c r="C83">
        <v>21.37</v>
      </c>
      <c r="D83">
        <v>4945</v>
      </c>
      <c r="E83">
        <v>22</v>
      </c>
      <c r="F83">
        <v>67</v>
      </c>
    </row>
    <row r="84" spans="1:6" x14ac:dyDescent="0.25">
      <c r="A84" t="s">
        <v>28</v>
      </c>
      <c r="B84" t="s">
        <v>33</v>
      </c>
      <c r="C84">
        <v>20.98</v>
      </c>
      <c r="D84">
        <v>5992</v>
      </c>
      <c r="E84">
        <v>22</v>
      </c>
      <c r="F84">
        <v>68</v>
      </c>
    </row>
    <row r="86" spans="1:6" s="2" customFormat="1" x14ac:dyDescent="0.25">
      <c r="B86" s="2" t="s">
        <v>14</v>
      </c>
      <c r="C86" s="3">
        <f t="shared" ref="C86" si="16">AVERAGE(C79:C84)</f>
        <v>20.821666666666669</v>
      </c>
      <c r="D86" s="3">
        <f t="shared" ref="D86:F86" si="17">AVERAGE(D79:D84)</f>
        <v>5392.5</v>
      </c>
      <c r="E86" s="3">
        <f t="shared" si="17"/>
        <v>22</v>
      </c>
      <c r="F86" s="3">
        <f t="shared" si="17"/>
        <v>67</v>
      </c>
    </row>
    <row r="87" spans="1:6" s="2" customFormat="1" x14ac:dyDescent="0.25">
      <c r="C87" s="3"/>
      <c r="D87" s="3"/>
      <c r="E87" s="3"/>
      <c r="F87" s="3"/>
    </row>
    <row r="88" spans="1:6" x14ac:dyDescent="0.25">
      <c r="A88" s="1" t="s">
        <v>34</v>
      </c>
    </row>
    <row r="89" spans="1:6" x14ac:dyDescent="0.25">
      <c r="A89" t="s">
        <v>7</v>
      </c>
      <c r="B89" t="s">
        <v>35</v>
      </c>
      <c r="C89">
        <v>11.37</v>
      </c>
      <c r="D89">
        <v>16611</v>
      </c>
      <c r="E89">
        <v>23</v>
      </c>
      <c r="F89">
        <v>66</v>
      </c>
    </row>
    <row r="90" spans="1:6" x14ac:dyDescent="0.25">
      <c r="A90" t="s">
        <v>9</v>
      </c>
      <c r="B90" t="s">
        <v>35</v>
      </c>
      <c r="C90">
        <v>11.27</v>
      </c>
      <c r="D90">
        <v>16034</v>
      </c>
      <c r="E90">
        <v>23</v>
      </c>
      <c r="F90">
        <v>65</v>
      </c>
    </row>
    <row r="91" spans="1:6" x14ac:dyDescent="0.25">
      <c r="A91" t="s">
        <v>10</v>
      </c>
      <c r="B91" t="s">
        <v>35</v>
      </c>
      <c r="C91">
        <v>11.13</v>
      </c>
      <c r="D91">
        <v>16632</v>
      </c>
      <c r="E91">
        <v>23</v>
      </c>
      <c r="F91">
        <v>66</v>
      </c>
    </row>
    <row r="92" spans="1:6" x14ac:dyDescent="0.25">
      <c r="A92" t="s">
        <v>11</v>
      </c>
      <c r="B92" t="s">
        <v>35</v>
      </c>
      <c r="C92">
        <v>11.23</v>
      </c>
      <c r="D92">
        <v>17630</v>
      </c>
      <c r="E92">
        <v>23</v>
      </c>
      <c r="F92">
        <v>65</v>
      </c>
    </row>
    <row r="93" spans="1:6" x14ac:dyDescent="0.25">
      <c r="A93" t="s">
        <v>12</v>
      </c>
      <c r="B93" t="s">
        <v>35</v>
      </c>
      <c r="C93">
        <v>11.24</v>
      </c>
      <c r="D93">
        <v>17269</v>
      </c>
      <c r="E93">
        <v>22</v>
      </c>
      <c r="F93">
        <v>66</v>
      </c>
    </row>
    <row r="94" spans="1:6" x14ac:dyDescent="0.25">
      <c r="A94" t="s">
        <v>13</v>
      </c>
      <c r="B94" t="s">
        <v>35</v>
      </c>
      <c r="C94">
        <v>11</v>
      </c>
      <c r="D94">
        <v>15952</v>
      </c>
      <c r="E94">
        <v>22</v>
      </c>
      <c r="F94">
        <v>66</v>
      </c>
    </row>
    <row r="96" spans="1:6" s="2" customFormat="1" x14ac:dyDescent="0.25">
      <c r="B96" s="2" t="s">
        <v>14</v>
      </c>
      <c r="C96" s="3">
        <f t="shared" ref="C96" si="18">AVERAGE(C89:C94)</f>
        <v>11.206666666666669</v>
      </c>
      <c r="D96" s="3">
        <f t="shared" ref="D96:F96" si="19">AVERAGE(D89:D94)</f>
        <v>16688</v>
      </c>
      <c r="E96" s="3">
        <f t="shared" si="19"/>
        <v>22.666666666666668</v>
      </c>
      <c r="F96" s="3">
        <f t="shared" si="19"/>
        <v>65.666666666666671</v>
      </c>
    </row>
    <row r="98" spans="1:6" x14ac:dyDescent="0.25">
      <c r="A98" t="s">
        <v>15</v>
      </c>
      <c r="B98" t="s">
        <v>32</v>
      </c>
      <c r="C98">
        <v>12.25</v>
      </c>
      <c r="D98">
        <v>13453</v>
      </c>
      <c r="E98">
        <v>23</v>
      </c>
      <c r="F98">
        <v>66</v>
      </c>
    </row>
    <row r="99" spans="1:6" x14ac:dyDescent="0.25">
      <c r="A99" t="s">
        <v>17</v>
      </c>
      <c r="B99" t="s">
        <v>32</v>
      </c>
      <c r="C99">
        <v>12.34</v>
      </c>
      <c r="D99">
        <v>12289</v>
      </c>
      <c r="E99">
        <v>22</v>
      </c>
      <c r="F99">
        <v>64</v>
      </c>
    </row>
    <row r="100" spans="1:6" x14ac:dyDescent="0.25">
      <c r="A100" t="s">
        <v>18</v>
      </c>
      <c r="B100" t="s">
        <v>32</v>
      </c>
      <c r="C100">
        <v>11.92</v>
      </c>
      <c r="D100">
        <v>13053</v>
      </c>
      <c r="E100">
        <v>22</v>
      </c>
      <c r="F100">
        <v>66</v>
      </c>
    </row>
    <row r="101" spans="1:6" x14ac:dyDescent="0.25">
      <c r="A101" t="s">
        <v>19</v>
      </c>
      <c r="B101" t="s">
        <v>32</v>
      </c>
      <c r="C101">
        <v>12.25</v>
      </c>
      <c r="D101">
        <v>13898</v>
      </c>
      <c r="E101">
        <v>23</v>
      </c>
      <c r="F101">
        <v>67</v>
      </c>
    </row>
    <row r="102" spans="1:6" x14ac:dyDescent="0.25">
      <c r="A102" t="s">
        <v>20</v>
      </c>
      <c r="B102" t="s">
        <v>32</v>
      </c>
      <c r="C102">
        <v>12.08</v>
      </c>
      <c r="D102">
        <v>13097</v>
      </c>
      <c r="E102">
        <v>23</v>
      </c>
      <c r="F102">
        <v>65</v>
      </c>
    </row>
    <row r="103" spans="1:6" x14ac:dyDescent="0.25">
      <c r="A103" t="s">
        <v>21</v>
      </c>
      <c r="B103" t="s">
        <v>32</v>
      </c>
      <c r="C103">
        <v>12.21</v>
      </c>
      <c r="D103">
        <v>12713</v>
      </c>
      <c r="E103">
        <v>23</v>
      </c>
      <c r="F103">
        <v>65</v>
      </c>
    </row>
    <row r="105" spans="1:6" s="2" customFormat="1" x14ac:dyDescent="0.25">
      <c r="B105" s="2" t="s">
        <v>14</v>
      </c>
      <c r="C105" s="3">
        <f t="shared" ref="C105" si="20">AVERAGE(C98:C103)</f>
        <v>12.174999999999999</v>
      </c>
      <c r="D105" s="3">
        <f t="shared" ref="D105:F105" si="21">AVERAGE(D98:D103)</f>
        <v>13083.833333333334</v>
      </c>
      <c r="E105" s="3">
        <f t="shared" si="21"/>
        <v>22.666666666666668</v>
      </c>
      <c r="F105" s="3">
        <f t="shared" si="21"/>
        <v>65.5</v>
      </c>
    </row>
    <row r="107" spans="1:6" x14ac:dyDescent="0.25">
      <c r="A107" t="s">
        <v>22</v>
      </c>
      <c r="B107" t="s">
        <v>33</v>
      </c>
      <c r="C107">
        <v>21.2</v>
      </c>
      <c r="D107">
        <v>3845</v>
      </c>
      <c r="E107">
        <v>23</v>
      </c>
      <c r="F107">
        <v>66</v>
      </c>
    </row>
    <row r="108" spans="1:6" x14ac:dyDescent="0.25">
      <c r="A108" t="s">
        <v>24</v>
      </c>
      <c r="B108" t="s">
        <v>33</v>
      </c>
      <c r="C108">
        <v>20.9</v>
      </c>
      <c r="D108">
        <v>5219</v>
      </c>
      <c r="E108">
        <v>23</v>
      </c>
      <c r="F108">
        <v>66</v>
      </c>
    </row>
    <row r="109" spans="1:6" x14ac:dyDescent="0.25">
      <c r="A109" t="s">
        <v>25</v>
      </c>
      <c r="B109" t="s">
        <v>33</v>
      </c>
      <c r="C109">
        <v>20.67</v>
      </c>
      <c r="D109">
        <v>5723</v>
      </c>
      <c r="E109">
        <v>22</v>
      </c>
      <c r="F109">
        <v>67</v>
      </c>
    </row>
    <row r="110" spans="1:6" x14ac:dyDescent="0.25">
      <c r="A110" t="s">
        <v>26</v>
      </c>
      <c r="B110" t="s">
        <v>33</v>
      </c>
      <c r="C110">
        <v>20.9</v>
      </c>
      <c r="D110">
        <v>5321</v>
      </c>
      <c r="E110">
        <v>23</v>
      </c>
      <c r="F110">
        <v>67</v>
      </c>
    </row>
    <row r="111" spans="1:6" x14ac:dyDescent="0.25">
      <c r="A111" t="s">
        <v>27</v>
      </c>
      <c r="B111" t="s">
        <v>33</v>
      </c>
      <c r="C111">
        <v>21.21</v>
      </c>
      <c r="D111">
        <v>5479</v>
      </c>
      <c r="E111">
        <v>23</v>
      </c>
      <c r="F111">
        <v>66</v>
      </c>
    </row>
    <row r="112" spans="1:6" x14ac:dyDescent="0.25">
      <c r="A112" t="s">
        <v>28</v>
      </c>
      <c r="B112" t="s">
        <v>33</v>
      </c>
      <c r="C112">
        <v>22.08</v>
      </c>
      <c r="D112">
        <v>5388</v>
      </c>
      <c r="E112">
        <v>23</v>
      </c>
      <c r="F112">
        <v>67</v>
      </c>
    </row>
    <row r="114" spans="1:6" s="2" customFormat="1" x14ac:dyDescent="0.25">
      <c r="B114" s="2" t="s">
        <v>14</v>
      </c>
      <c r="C114" s="3">
        <f t="shared" ref="C114" si="22">AVERAGE(C107:C112)</f>
        <v>21.16</v>
      </c>
      <c r="D114" s="3">
        <f t="shared" ref="D114:F114" si="23">AVERAGE(D107:D112)</f>
        <v>5162.5</v>
      </c>
      <c r="E114" s="3">
        <f t="shared" si="23"/>
        <v>22.833333333333332</v>
      </c>
      <c r="F114" s="3">
        <f t="shared" si="23"/>
        <v>66.5</v>
      </c>
    </row>
    <row r="115" spans="1:6" s="2" customFormat="1" x14ac:dyDescent="0.25">
      <c r="C115" s="3"/>
      <c r="D115" s="3"/>
      <c r="E115" s="3"/>
      <c r="F115" s="3"/>
    </row>
    <row r="116" spans="1:6" s="2" customFormat="1" x14ac:dyDescent="0.25">
      <c r="C116" s="3"/>
      <c r="D116" s="3"/>
      <c r="E116" s="3"/>
      <c r="F116" s="3"/>
    </row>
    <row r="117" spans="1:6" s="2" customFormat="1" x14ac:dyDescent="0.25">
      <c r="C117" s="3"/>
      <c r="D117" s="3"/>
      <c r="E117" s="3"/>
      <c r="F117" s="3"/>
    </row>
    <row r="118" spans="1:6" x14ac:dyDescent="0.25">
      <c r="A118" s="1" t="s">
        <v>36</v>
      </c>
    </row>
    <row r="119" spans="1:6" x14ac:dyDescent="0.25">
      <c r="A119" t="s">
        <v>7</v>
      </c>
      <c r="B119" t="s">
        <v>35</v>
      </c>
      <c r="C119">
        <v>10.94</v>
      </c>
      <c r="D119">
        <v>17273</v>
      </c>
      <c r="E119">
        <v>22</v>
      </c>
      <c r="F119">
        <v>69</v>
      </c>
    </row>
    <row r="120" spans="1:6" x14ac:dyDescent="0.25">
      <c r="A120" t="s">
        <v>9</v>
      </c>
      <c r="B120" t="s">
        <v>35</v>
      </c>
      <c r="C120">
        <v>11</v>
      </c>
      <c r="D120">
        <v>17329</v>
      </c>
      <c r="E120">
        <v>22</v>
      </c>
      <c r="F120">
        <v>71</v>
      </c>
    </row>
    <row r="121" spans="1:6" x14ac:dyDescent="0.25">
      <c r="A121" t="s">
        <v>10</v>
      </c>
      <c r="B121" t="s">
        <v>35</v>
      </c>
      <c r="C121">
        <v>11.35</v>
      </c>
      <c r="D121">
        <v>18183</v>
      </c>
      <c r="E121">
        <v>22</v>
      </c>
      <c r="F121">
        <v>67</v>
      </c>
    </row>
    <row r="122" spans="1:6" x14ac:dyDescent="0.25">
      <c r="A122" t="s">
        <v>11</v>
      </c>
      <c r="B122" t="s">
        <v>35</v>
      </c>
      <c r="C122">
        <v>11.12</v>
      </c>
      <c r="D122">
        <v>17236</v>
      </c>
      <c r="E122">
        <v>22</v>
      </c>
      <c r="F122">
        <v>69</v>
      </c>
    </row>
    <row r="123" spans="1:6" x14ac:dyDescent="0.25">
      <c r="A123" t="s">
        <v>12</v>
      </c>
      <c r="B123" t="s">
        <v>35</v>
      </c>
      <c r="C123">
        <v>11.13</v>
      </c>
      <c r="D123">
        <v>18050</v>
      </c>
      <c r="E123">
        <v>22</v>
      </c>
      <c r="F123">
        <v>72</v>
      </c>
    </row>
    <row r="124" spans="1:6" x14ac:dyDescent="0.25">
      <c r="A124" t="s">
        <v>13</v>
      </c>
      <c r="B124" t="s">
        <v>35</v>
      </c>
      <c r="C124">
        <v>11.05</v>
      </c>
      <c r="D124">
        <v>18379</v>
      </c>
      <c r="E124">
        <v>22</v>
      </c>
      <c r="F124">
        <v>69</v>
      </c>
    </row>
    <row r="126" spans="1:6" s="2" customFormat="1" x14ac:dyDescent="0.25">
      <c r="B126" s="2" t="s">
        <v>14</v>
      </c>
      <c r="C126" s="3">
        <f t="shared" ref="C126" si="24">AVERAGE(C119:C124)</f>
        <v>11.098333333333334</v>
      </c>
      <c r="D126" s="3">
        <f t="shared" ref="D126:F126" si="25">AVERAGE(D119:D124)</f>
        <v>17741.666666666668</v>
      </c>
      <c r="E126" s="3">
        <f t="shared" si="25"/>
        <v>22</v>
      </c>
      <c r="F126" s="3">
        <f t="shared" si="25"/>
        <v>69.5</v>
      </c>
    </row>
    <row r="128" spans="1:6" x14ac:dyDescent="0.25">
      <c r="A128" t="s">
        <v>15</v>
      </c>
      <c r="B128" t="s">
        <v>32</v>
      </c>
      <c r="C128">
        <v>11.99</v>
      </c>
      <c r="D128">
        <v>11812</v>
      </c>
      <c r="E128">
        <v>22</v>
      </c>
      <c r="F128">
        <v>68</v>
      </c>
    </row>
    <row r="129" spans="1:6" x14ac:dyDescent="0.25">
      <c r="A129" t="s">
        <v>17</v>
      </c>
      <c r="B129" t="s">
        <v>32</v>
      </c>
      <c r="C129">
        <v>12.32</v>
      </c>
      <c r="D129">
        <v>13785</v>
      </c>
      <c r="E129">
        <v>22</v>
      </c>
      <c r="F129">
        <v>69</v>
      </c>
    </row>
    <row r="130" spans="1:6" x14ac:dyDescent="0.25">
      <c r="A130" t="s">
        <v>18</v>
      </c>
      <c r="B130" t="s">
        <v>32</v>
      </c>
      <c r="C130">
        <v>12.2</v>
      </c>
      <c r="D130">
        <v>12713</v>
      </c>
      <c r="E130">
        <v>21</v>
      </c>
      <c r="F130">
        <v>68</v>
      </c>
    </row>
    <row r="131" spans="1:6" x14ac:dyDescent="0.25">
      <c r="A131" t="s">
        <v>19</v>
      </c>
      <c r="B131" t="s">
        <v>32</v>
      </c>
      <c r="C131">
        <v>12.38</v>
      </c>
      <c r="D131">
        <v>11833</v>
      </c>
      <c r="E131">
        <v>22</v>
      </c>
      <c r="F131">
        <v>68</v>
      </c>
    </row>
    <row r="132" spans="1:6" x14ac:dyDescent="0.25">
      <c r="A132" t="s">
        <v>20</v>
      </c>
      <c r="B132" t="s">
        <v>32</v>
      </c>
      <c r="C132">
        <v>12.27</v>
      </c>
      <c r="D132">
        <v>13245</v>
      </c>
      <c r="E132">
        <v>22</v>
      </c>
      <c r="F132">
        <v>68</v>
      </c>
    </row>
    <row r="133" spans="1:6" x14ac:dyDescent="0.25">
      <c r="A133" t="s">
        <v>21</v>
      </c>
      <c r="B133" t="s">
        <v>32</v>
      </c>
      <c r="C133">
        <v>12.16</v>
      </c>
      <c r="D133">
        <v>13863</v>
      </c>
      <c r="E133">
        <v>22</v>
      </c>
      <c r="F133">
        <v>69</v>
      </c>
    </row>
    <row r="135" spans="1:6" s="2" customFormat="1" x14ac:dyDescent="0.25">
      <c r="B135" s="2" t="s">
        <v>14</v>
      </c>
      <c r="C135" s="3">
        <f t="shared" ref="C135" si="26">AVERAGE(C128:C133)</f>
        <v>12.22</v>
      </c>
      <c r="D135" s="3">
        <f t="shared" ref="D135:F135" si="27">AVERAGE(D128:D133)</f>
        <v>12875.166666666666</v>
      </c>
      <c r="E135" s="3">
        <f t="shared" si="27"/>
        <v>21.833333333333332</v>
      </c>
      <c r="F135" s="3">
        <f t="shared" si="27"/>
        <v>68.333333333333329</v>
      </c>
    </row>
    <row r="137" spans="1:6" x14ac:dyDescent="0.25">
      <c r="A137" t="s">
        <v>22</v>
      </c>
      <c r="B137" t="s">
        <v>33</v>
      </c>
      <c r="C137">
        <v>21.05</v>
      </c>
      <c r="D137">
        <v>5572</v>
      </c>
      <c r="E137">
        <v>22</v>
      </c>
      <c r="F137">
        <v>69</v>
      </c>
    </row>
    <row r="138" spans="1:6" x14ac:dyDescent="0.25">
      <c r="A138" t="s">
        <v>24</v>
      </c>
      <c r="B138" t="s">
        <v>33</v>
      </c>
      <c r="C138">
        <v>21.63</v>
      </c>
      <c r="D138">
        <v>5293</v>
      </c>
      <c r="E138">
        <v>22</v>
      </c>
      <c r="F138">
        <v>69</v>
      </c>
    </row>
    <row r="139" spans="1:6" x14ac:dyDescent="0.25">
      <c r="A139" t="s">
        <v>25</v>
      </c>
      <c r="B139" t="s">
        <v>33</v>
      </c>
      <c r="C139">
        <v>20.72</v>
      </c>
      <c r="D139">
        <v>5846</v>
      </c>
      <c r="E139">
        <v>22</v>
      </c>
      <c r="F139">
        <v>66</v>
      </c>
    </row>
    <row r="140" spans="1:6" x14ac:dyDescent="0.25">
      <c r="A140" t="s">
        <v>26</v>
      </c>
      <c r="B140" t="s">
        <v>33</v>
      </c>
      <c r="C140">
        <v>20.72</v>
      </c>
      <c r="D140">
        <v>5422</v>
      </c>
      <c r="E140">
        <v>22</v>
      </c>
      <c r="F140">
        <v>69</v>
      </c>
    </row>
    <row r="141" spans="1:6" x14ac:dyDescent="0.25">
      <c r="A141" t="s">
        <v>27</v>
      </c>
      <c r="B141" t="s">
        <v>33</v>
      </c>
      <c r="C141">
        <v>21.33</v>
      </c>
      <c r="D141">
        <v>5774</v>
      </c>
      <c r="E141">
        <v>22</v>
      </c>
      <c r="F141">
        <v>69</v>
      </c>
    </row>
    <row r="142" spans="1:6" x14ac:dyDescent="0.25">
      <c r="A142" t="s">
        <v>28</v>
      </c>
      <c r="B142" t="s">
        <v>33</v>
      </c>
      <c r="C142">
        <v>22.15</v>
      </c>
      <c r="D142">
        <v>5734</v>
      </c>
      <c r="E142">
        <v>22</v>
      </c>
      <c r="F142">
        <v>68</v>
      </c>
    </row>
    <row r="144" spans="1:6" s="2" customFormat="1" x14ac:dyDescent="0.25">
      <c r="B144" s="2" t="s">
        <v>14</v>
      </c>
      <c r="C144" s="3">
        <f t="shared" ref="C144" si="28">AVERAGE(C137:C142)</f>
        <v>21.266666666666666</v>
      </c>
      <c r="D144" s="3">
        <f t="shared" ref="D144:F144" si="29">AVERAGE(D137:D142)</f>
        <v>5606.833333333333</v>
      </c>
      <c r="E144" s="3">
        <f t="shared" si="29"/>
        <v>22</v>
      </c>
      <c r="F144" s="3">
        <f t="shared" si="29"/>
        <v>68.333333333333329</v>
      </c>
    </row>
    <row r="146" spans="1:6" x14ac:dyDescent="0.25">
      <c r="A146" s="4" t="s">
        <v>6</v>
      </c>
    </row>
    <row r="147" spans="1:6" x14ac:dyDescent="0.25">
      <c r="A147" t="s">
        <v>37</v>
      </c>
      <c r="B147" t="s">
        <v>38</v>
      </c>
      <c r="C147">
        <v>20.54</v>
      </c>
      <c r="D147">
        <v>5127</v>
      </c>
      <c r="E147">
        <v>22</v>
      </c>
      <c r="F147">
        <v>74</v>
      </c>
    </row>
    <row r="148" spans="1:6" x14ac:dyDescent="0.25">
      <c r="A148" t="s">
        <v>39</v>
      </c>
      <c r="B148" t="s">
        <v>38</v>
      </c>
      <c r="C148">
        <v>21.19</v>
      </c>
      <c r="D148">
        <v>6502</v>
      </c>
      <c r="E148">
        <v>22</v>
      </c>
      <c r="F148">
        <v>70</v>
      </c>
    </row>
    <row r="149" spans="1:6" x14ac:dyDescent="0.25">
      <c r="A149" t="s">
        <v>40</v>
      </c>
      <c r="B149" t="s">
        <v>38</v>
      </c>
      <c r="C149">
        <v>20.72</v>
      </c>
      <c r="D149">
        <v>6387</v>
      </c>
      <c r="E149">
        <v>22</v>
      </c>
      <c r="F149">
        <v>68</v>
      </c>
    </row>
    <row r="150" spans="1:6" x14ac:dyDescent="0.25">
      <c r="A150" t="s">
        <v>41</v>
      </c>
      <c r="B150" t="s">
        <v>38</v>
      </c>
      <c r="C150">
        <v>20.82</v>
      </c>
      <c r="D150">
        <v>6044</v>
      </c>
      <c r="E150">
        <v>22</v>
      </c>
      <c r="F150">
        <v>69</v>
      </c>
    </row>
    <row r="151" spans="1:6" x14ac:dyDescent="0.25">
      <c r="A151" t="s">
        <v>42</v>
      </c>
      <c r="B151" t="s">
        <v>38</v>
      </c>
      <c r="C151">
        <v>21.28</v>
      </c>
      <c r="D151">
        <v>6251</v>
      </c>
      <c r="E151">
        <v>22</v>
      </c>
      <c r="F151">
        <v>66</v>
      </c>
    </row>
    <row r="152" spans="1:6" x14ac:dyDescent="0.25">
      <c r="A152" t="s">
        <v>43</v>
      </c>
      <c r="B152" t="s">
        <v>38</v>
      </c>
      <c r="C152">
        <v>20.77</v>
      </c>
      <c r="D152">
        <v>5460</v>
      </c>
      <c r="E152">
        <v>22</v>
      </c>
      <c r="F152">
        <v>69</v>
      </c>
    </row>
    <row r="154" spans="1:6" s="2" customFormat="1" x14ac:dyDescent="0.25">
      <c r="A154"/>
      <c r="B154" s="2" t="s">
        <v>14</v>
      </c>
      <c r="C154" s="3">
        <f t="shared" ref="C154" si="30">AVERAGE(C147:C152)</f>
        <v>20.886666666666667</v>
      </c>
      <c r="D154" s="3">
        <f t="shared" ref="D154:F154" si="31">AVERAGE(D147:D152)</f>
        <v>5961.833333333333</v>
      </c>
      <c r="E154" s="3">
        <f t="shared" si="31"/>
        <v>22</v>
      </c>
      <c r="F154" s="3">
        <f t="shared" si="31"/>
        <v>69.333333333333329</v>
      </c>
    </row>
    <row r="156" spans="1:6" x14ac:dyDescent="0.25">
      <c r="A156" t="s">
        <v>44</v>
      </c>
      <c r="B156" t="s">
        <v>45</v>
      </c>
      <c r="C156">
        <v>22.34</v>
      </c>
      <c r="D156">
        <v>5601</v>
      </c>
      <c r="E156">
        <v>22</v>
      </c>
      <c r="F156">
        <v>68</v>
      </c>
    </row>
    <row r="157" spans="1:6" x14ac:dyDescent="0.25">
      <c r="A157" t="s">
        <v>46</v>
      </c>
      <c r="B157" t="s">
        <v>45</v>
      </c>
      <c r="C157">
        <v>22.59</v>
      </c>
      <c r="D157">
        <v>5969</v>
      </c>
      <c r="E157">
        <v>22</v>
      </c>
      <c r="F157">
        <v>68</v>
      </c>
    </row>
    <row r="158" spans="1:6" x14ac:dyDescent="0.25">
      <c r="A158" t="s">
        <v>47</v>
      </c>
      <c r="B158" t="s">
        <v>45</v>
      </c>
      <c r="C158">
        <v>22.53</v>
      </c>
      <c r="D158">
        <v>5351</v>
      </c>
      <c r="E158">
        <v>22</v>
      </c>
      <c r="F158">
        <v>68</v>
      </c>
    </row>
    <row r="159" spans="1:6" x14ac:dyDescent="0.25">
      <c r="A159" t="s">
        <v>48</v>
      </c>
      <c r="B159" t="s">
        <v>45</v>
      </c>
      <c r="C159">
        <v>22.5</v>
      </c>
      <c r="D159">
        <v>5093</v>
      </c>
      <c r="E159">
        <v>22</v>
      </c>
      <c r="F159">
        <v>68</v>
      </c>
    </row>
    <row r="160" spans="1:6" x14ac:dyDescent="0.25">
      <c r="A160" t="s">
        <v>49</v>
      </c>
      <c r="B160" t="s">
        <v>45</v>
      </c>
      <c r="C160">
        <v>22.83</v>
      </c>
      <c r="D160">
        <v>4805</v>
      </c>
      <c r="E160">
        <v>22</v>
      </c>
      <c r="F160">
        <v>68</v>
      </c>
    </row>
    <row r="161" spans="1:6" x14ac:dyDescent="0.25">
      <c r="A161" t="s">
        <v>50</v>
      </c>
      <c r="B161" t="s">
        <v>45</v>
      </c>
      <c r="C161">
        <v>22.81</v>
      </c>
      <c r="D161">
        <v>5778</v>
      </c>
      <c r="E161">
        <v>22</v>
      </c>
      <c r="F161">
        <v>68</v>
      </c>
    </row>
    <row r="163" spans="1:6" s="2" customFormat="1" x14ac:dyDescent="0.25">
      <c r="B163" s="2" t="s">
        <v>14</v>
      </c>
      <c r="C163" s="3">
        <f t="shared" ref="C163" si="32">AVERAGE(C156:C161)</f>
        <v>22.599999999999998</v>
      </c>
      <c r="D163" s="3">
        <f t="shared" ref="D163:F163" si="33">AVERAGE(D156:D161)</f>
        <v>5432.833333333333</v>
      </c>
      <c r="E163" s="3">
        <f t="shared" si="33"/>
        <v>22</v>
      </c>
      <c r="F163" s="3">
        <f t="shared" si="33"/>
        <v>68</v>
      </c>
    </row>
    <row r="165" spans="1:6" x14ac:dyDescent="0.25">
      <c r="A165" t="s">
        <v>51</v>
      </c>
      <c r="B165" t="s">
        <v>52</v>
      </c>
      <c r="C165">
        <v>24.59</v>
      </c>
      <c r="D165">
        <v>3813</v>
      </c>
      <c r="E165">
        <v>22</v>
      </c>
      <c r="F165">
        <v>67</v>
      </c>
    </row>
    <row r="166" spans="1:6" x14ac:dyDescent="0.25">
      <c r="A166" t="s">
        <v>53</v>
      </c>
      <c r="B166" t="s">
        <v>52</v>
      </c>
      <c r="C166">
        <v>25.67</v>
      </c>
      <c r="D166">
        <v>4421</v>
      </c>
      <c r="E166">
        <v>22</v>
      </c>
      <c r="F166">
        <v>65</v>
      </c>
    </row>
    <row r="167" spans="1:6" x14ac:dyDescent="0.25">
      <c r="A167" t="s">
        <v>54</v>
      </c>
      <c r="B167" t="s">
        <v>52</v>
      </c>
      <c r="C167">
        <v>24.97</v>
      </c>
      <c r="D167">
        <v>3412</v>
      </c>
      <c r="E167">
        <v>22</v>
      </c>
      <c r="F167">
        <v>68</v>
      </c>
    </row>
    <row r="168" spans="1:6" x14ac:dyDescent="0.25">
      <c r="A168" t="s">
        <v>55</v>
      </c>
      <c r="B168" t="s">
        <v>52</v>
      </c>
      <c r="C168">
        <v>24.53</v>
      </c>
      <c r="D168">
        <v>4430</v>
      </c>
      <c r="E168">
        <v>22</v>
      </c>
      <c r="F168">
        <v>68</v>
      </c>
    </row>
    <row r="169" spans="1:6" x14ac:dyDescent="0.25">
      <c r="A169" t="s">
        <v>56</v>
      </c>
      <c r="B169" t="s">
        <v>52</v>
      </c>
      <c r="C169">
        <v>24.21</v>
      </c>
      <c r="D169">
        <v>3648</v>
      </c>
      <c r="E169">
        <v>22</v>
      </c>
      <c r="F169">
        <v>65</v>
      </c>
    </row>
    <row r="170" spans="1:6" x14ac:dyDescent="0.25">
      <c r="A170" t="s">
        <v>57</v>
      </c>
      <c r="B170" t="s">
        <v>52</v>
      </c>
      <c r="C170">
        <v>24.22</v>
      </c>
      <c r="D170">
        <v>4239</v>
      </c>
      <c r="E170">
        <v>22</v>
      </c>
      <c r="F170">
        <v>64</v>
      </c>
    </row>
    <row r="172" spans="1:6" s="2" customFormat="1" x14ac:dyDescent="0.25">
      <c r="B172" s="2" t="s">
        <v>14</v>
      </c>
      <c r="C172" s="3">
        <f t="shared" ref="C172" si="34">AVERAGE(C165:C170)</f>
        <v>24.698333333333334</v>
      </c>
      <c r="D172" s="3">
        <f t="shared" ref="D172:F172" si="35">AVERAGE(D165:D170)</f>
        <v>3993.8333333333335</v>
      </c>
      <c r="E172" s="3">
        <f t="shared" si="35"/>
        <v>22</v>
      </c>
      <c r="F172" s="3">
        <f t="shared" si="35"/>
        <v>66.166666666666671</v>
      </c>
    </row>
    <row r="175" spans="1:6" x14ac:dyDescent="0.25">
      <c r="A175" s="4" t="s">
        <v>29</v>
      </c>
    </row>
    <row r="176" spans="1:6" x14ac:dyDescent="0.25">
      <c r="A176" t="s">
        <v>37</v>
      </c>
      <c r="B176" t="s">
        <v>38</v>
      </c>
      <c r="C176">
        <v>21.85</v>
      </c>
      <c r="D176">
        <v>6091</v>
      </c>
      <c r="E176">
        <v>22</v>
      </c>
      <c r="F176">
        <v>71</v>
      </c>
    </row>
    <row r="177" spans="1:6" x14ac:dyDescent="0.25">
      <c r="A177" t="s">
        <v>39</v>
      </c>
      <c r="B177" t="s">
        <v>38</v>
      </c>
      <c r="C177">
        <v>21.66</v>
      </c>
      <c r="D177">
        <v>6668</v>
      </c>
      <c r="E177">
        <v>22</v>
      </c>
      <c r="F177">
        <v>71</v>
      </c>
    </row>
    <row r="178" spans="1:6" x14ac:dyDescent="0.25">
      <c r="A178" t="s">
        <v>40</v>
      </c>
      <c r="B178" t="s">
        <v>38</v>
      </c>
      <c r="C178">
        <v>21.37</v>
      </c>
      <c r="D178">
        <v>6220</v>
      </c>
      <c r="E178">
        <v>22</v>
      </c>
      <c r="F178">
        <v>71</v>
      </c>
    </row>
    <row r="179" spans="1:6" x14ac:dyDescent="0.25">
      <c r="A179" t="s">
        <v>41</v>
      </c>
      <c r="B179" t="s">
        <v>38</v>
      </c>
      <c r="C179">
        <v>21.74</v>
      </c>
      <c r="D179">
        <v>6671</v>
      </c>
      <c r="E179">
        <v>22</v>
      </c>
      <c r="F179">
        <v>69</v>
      </c>
    </row>
    <row r="180" spans="1:6" x14ac:dyDescent="0.25">
      <c r="A180" t="s">
        <v>42</v>
      </c>
      <c r="B180" t="s">
        <v>38</v>
      </c>
      <c r="C180">
        <v>21.88</v>
      </c>
      <c r="D180">
        <v>6607</v>
      </c>
      <c r="E180">
        <v>22</v>
      </c>
      <c r="F180">
        <v>71</v>
      </c>
    </row>
    <row r="181" spans="1:6" x14ac:dyDescent="0.25">
      <c r="A181" t="s">
        <v>43</v>
      </c>
      <c r="B181" t="s">
        <v>38</v>
      </c>
      <c r="C181">
        <v>21.01</v>
      </c>
      <c r="D181">
        <v>6954</v>
      </c>
      <c r="E181">
        <v>22</v>
      </c>
      <c r="F181">
        <v>69</v>
      </c>
    </row>
    <row r="183" spans="1:6" x14ac:dyDescent="0.25">
      <c r="B183" t="s">
        <v>14</v>
      </c>
      <c r="C183">
        <v>20.886666666666667</v>
      </c>
      <c r="D183">
        <v>5961.833333333333</v>
      </c>
      <c r="E183">
        <v>22</v>
      </c>
      <c r="F183">
        <v>69.333333333333329</v>
      </c>
    </row>
    <row r="185" spans="1:6" x14ac:dyDescent="0.25">
      <c r="A185" t="s">
        <v>44</v>
      </c>
      <c r="B185" t="s">
        <v>45</v>
      </c>
      <c r="C185">
        <v>22.7</v>
      </c>
      <c r="D185">
        <v>5327</v>
      </c>
      <c r="E185">
        <v>22</v>
      </c>
      <c r="F185">
        <v>68</v>
      </c>
    </row>
    <row r="186" spans="1:6" x14ac:dyDescent="0.25">
      <c r="A186" t="s">
        <v>46</v>
      </c>
      <c r="B186" t="s">
        <v>45</v>
      </c>
      <c r="C186">
        <v>23.59</v>
      </c>
      <c r="D186">
        <v>5118</v>
      </c>
      <c r="E186">
        <v>22</v>
      </c>
      <c r="F186">
        <v>68</v>
      </c>
    </row>
    <row r="187" spans="1:6" x14ac:dyDescent="0.25">
      <c r="A187" t="s">
        <v>47</v>
      </c>
      <c r="B187" t="s">
        <v>45</v>
      </c>
      <c r="C187">
        <v>23.42</v>
      </c>
      <c r="D187">
        <v>5105</v>
      </c>
      <c r="E187">
        <v>22</v>
      </c>
      <c r="F187">
        <v>69</v>
      </c>
    </row>
    <row r="188" spans="1:6" x14ac:dyDescent="0.25">
      <c r="A188" t="s">
        <v>48</v>
      </c>
      <c r="B188" t="s">
        <v>45</v>
      </c>
      <c r="C188">
        <v>23.27</v>
      </c>
      <c r="D188">
        <v>5641</v>
      </c>
      <c r="E188">
        <v>22</v>
      </c>
      <c r="F188">
        <v>68</v>
      </c>
    </row>
    <row r="189" spans="1:6" x14ac:dyDescent="0.25">
      <c r="A189" t="s">
        <v>49</v>
      </c>
      <c r="B189" t="s">
        <v>45</v>
      </c>
      <c r="C189">
        <v>22.67</v>
      </c>
      <c r="D189">
        <v>5121</v>
      </c>
      <c r="E189">
        <v>22</v>
      </c>
      <c r="F189">
        <v>68</v>
      </c>
    </row>
    <row r="190" spans="1:6" x14ac:dyDescent="0.25">
      <c r="A190" t="s">
        <v>50</v>
      </c>
      <c r="B190" t="s">
        <v>45</v>
      </c>
      <c r="C190">
        <v>22.61</v>
      </c>
      <c r="D190">
        <v>4986</v>
      </c>
      <c r="E190">
        <v>22</v>
      </c>
      <c r="F190">
        <v>67</v>
      </c>
    </row>
    <row r="192" spans="1:6" s="2" customFormat="1" x14ac:dyDescent="0.25">
      <c r="B192" s="2" t="s">
        <v>14</v>
      </c>
      <c r="C192" s="3">
        <f t="shared" ref="C192" si="36">AVERAGE(C185:C190)</f>
        <v>23.043333333333333</v>
      </c>
      <c r="D192" s="3">
        <f t="shared" ref="D192:F192" si="37">AVERAGE(D185:D190)</f>
        <v>5216.333333333333</v>
      </c>
      <c r="E192" s="3">
        <f t="shared" si="37"/>
        <v>22</v>
      </c>
      <c r="F192" s="3">
        <f t="shared" si="37"/>
        <v>68</v>
      </c>
    </row>
    <row r="194" spans="1:6" x14ac:dyDescent="0.25">
      <c r="A194" t="s">
        <v>51</v>
      </c>
      <c r="B194" t="s">
        <v>52</v>
      </c>
      <c r="C194">
        <v>24</v>
      </c>
      <c r="D194">
        <v>4846</v>
      </c>
      <c r="E194">
        <v>22</v>
      </c>
      <c r="F194">
        <v>66</v>
      </c>
    </row>
    <row r="195" spans="1:6" x14ac:dyDescent="0.25">
      <c r="A195" t="s">
        <v>53</v>
      </c>
      <c r="B195" t="s">
        <v>52</v>
      </c>
      <c r="C195">
        <v>24.48</v>
      </c>
      <c r="D195">
        <v>4637</v>
      </c>
      <c r="E195">
        <v>23</v>
      </c>
      <c r="F195">
        <v>66</v>
      </c>
    </row>
    <row r="196" spans="1:6" x14ac:dyDescent="0.25">
      <c r="A196" t="s">
        <v>54</v>
      </c>
      <c r="B196" t="s">
        <v>52</v>
      </c>
      <c r="C196">
        <v>25.19</v>
      </c>
      <c r="D196">
        <v>4253</v>
      </c>
      <c r="E196">
        <v>23</v>
      </c>
      <c r="F196">
        <v>66</v>
      </c>
    </row>
    <row r="197" spans="1:6" x14ac:dyDescent="0.25">
      <c r="A197" t="s">
        <v>55</v>
      </c>
      <c r="B197" t="s">
        <v>52</v>
      </c>
      <c r="C197">
        <v>24.87</v>
      </c>
      <c r="D197">
        <v>5114</v>
      </c>
      <c r="E197">
        <v>22</v>
      </c>
      <c r="F197">
        <v>66</v>
      </c>
    </row>
    <row r="198" spans="1:6" x14ac:dyDescent="0.25">
      <c r="A198" t="s">
        <v>56</v>
      </c>
      <c r="B198" t="s">
        <v>52</v>
      </c>
      <c r="C198">
        <v>24.23</v>
      </c>
      <c r="D198">
        <v>4740</v>
      </c>
      <c r="E198">
        <v>22</v>
      </c>
      <c r="F198">
        <v>66</v>
      </c>
    </row>
    <row r="199" spans="1:6" x14ac:dyDescent="0.25">
      <c r="A199" t="s">
        <v>57</v>
      </c>
      <c r="B199" t="s">
        <v>52</v>
      </c>
      <c r="C199">
        <v>25.67</v>
      </c>
      <c r="D199">
        <v>4394</v>
      </c>
      <c r="E199">
        <v>22</v>
      </c>
      <c r="F199">
        <v>65</v>
      </c>
    </row>
    <row r="201" spans="1:6" s="2" customFormat="1" x14ac:dyDescent="0.25">
      <c r="B201" s="2" t="s">
        <v>14</v>
      </c>
      <c r="C201" s="3">
        <f t="shared" ref="C201" si="38">AVERAGE(C194:C199)</f>
        <v>24.74</v>
      </c>
      <c r="D201" s="3">
        <f t="shared" ref="D201:F201" si="39">AVERAGE(D194:D199)</f>
        <v>4664</v>
      </c>
      <c r="E201" s="3">
        <f t="shared" si="39"/>
        <v>22.333333333333332</v>
      </c>
      <c r="F201" s="3">
        <f t="shared" si="39"/>
        <v>65.833333333333329</v>
      </c>
    </row>
    <row r="204" spans="1:6" x14ac:dyDescent="0.25">
      <c r="A204" s="4" t="s">
        <v>30</v>
      </c>
    </row>
    <row r="205" spans="1:6" x14ac:dyDescent="0.25">
      <c r="A205" t="s">
        <v>37</v>
      </c>
      <c r="B205" t="s">
        <v>38</v>
      </c>
      <c r="C205">
        <v>20.84</v>
      </c>
      <c r="D205">
        <v>6374</v>
      </c>
      <c r="E205">
        <v>22</v>
      </c>
      <c r="F205">
        <v>70</v>
      </c>
    </row>
    <row r="206" spans="1:6" x14ac:dyDescent="0.25">
      <c r="A206" t="s">
        <v>39</v>
      </c>
      <c r="B206" t="s">
        <v>38</v>
      </c>
      <c r="C206">
        <v>21.58</v>
      </c>
      <c r="D206">
        <v>6520</v>
      </c>
      <c r="E206">
        <v>21</v>
      </c>
      <c r="F206">
        <v>69</v>
      </c>
    </row>
    <row r="207" spans="1:6" x14ac:dyDescent="0.25">
      <c r="A207" t="s">
        <v>40</v>
      </c>
      <c r="B207" t="s">
        <v>38</v>
      </c>
      <c r="C207">
        <v>20.79</v>
      </c>
      <c r="D207">
        <v>6462</v>
      </c>
      <c r="E207">
        <v>22</v>
      </c>
      <c r="F207">
        <v>69</v>
      </c>
    </row>
    <row r="208" spans="1:6" x14ac:dyDescent="0.25">
      <c r="A208" t="s">
        <v>41</v>
      </c>
      <c r="B208" t="s">
        <v>38</v>
      </c>
      <c r="C208">
        <v>20.7</v>
      </c>
      <c r="D208">
        <v>4918</v>
      </c>
      <c r="E208">
        <v>22</v>
      </c>
      <c r="F208">
        <v>69</v>
      </c>
    </row>
    <row r="209" spans="1:6" x14ac:dyDescent="0.25">
      <c r="A209" t="s">
        <v>42</v>
      </c>
      <c r="B209" t="s">
        <v>38</v>
      </c>
      <c r="C209">
        <v>21.52</v>
      </c>
      <c r="D209">
        <v>6669</v>
      </c>
      <c r="E209">
        <v>22</v>
      </c>
      <c r="F209">
        <v>71</v>
      </c>
    </row>
    <row r="210" spans="1:6" x14ac:dyDescent="0.25">
      <c r="A210" t="s">
        <v>43</v>
      </c>
      <c r="B210" t="s">
        <v>38</v>
      </c>
      <c r="C210">
        <v>20.6</v>
      </c>
      <c r="D210">
        <v>6396</v>
      </c>
      <c r="E210">
        <v>22</v>
      </c>
      <c r="F210">
        <v>69</v>
      </c>
    </row>
    <row r="212" spans="1:6" s="2" customFormat="1" x14ac:dyDescent="0.25">
      <c r="B212" s="2" t="s">
        <v>14</v>
      </c>
      <c r="C212" s="3">
        <f t="shared" ref="C212" si="40">AVERAGE(C205:C210)</f>
        <v>21.004999999999999</v>
      </c>
      <c r="D212" s="3">
        <f t="shared" ref="D212:F212" si="41">AVERAGE(D205:D210)</f>
        <v>6223.166666666667</v>
      </c>
      <c r="E212" s="3">
        <f t="shared" si="41"/>
        <v>21.833333333333332</v>
      </c>
      <c r="F212" s="3">
        <f t="shared" si="41"/>
        <v>69.5</v>
      </c>
    </row>
    <row r="214" spans="1:6" x14ac:dyDescent="0.25">
      <c r="A214" t="s">
        <v>44</v>
      </c>
      <c r="B214" t="s">
        <v>45</v>
      </c>
      <c r="C214">
        <v>23.12</v>
      </c>
      <c r="D214">
        <v>4555</v>
      </c>
      <c r="E214">
        <v>22</v>
      </c>
      <c r="F214">
        <v>68</v>
      </c>
    </row>
    <row r="215" spans="1:6" x14ac:dyDescent="0.25">
      <c r="A215" t="s">
        <v>46</v>
      </c>
      <c r="B215" t="s">
        <v>45</v>
      </c>
      <c r="C215">
        <v>22.63</v>
      </c>
      <c r="D215">
        <v>5069</v>
      </c>
      <c r="E215">
        <v>22</v>
      </c>
      <c r="F215">
        <v>68</v>
      </c>
    </row>
    <row r="216" spans="1:6" x14ac:dyDescent="0.25">
      <c r="A216" t="s">
        <v>47</v>
      </c>
      <c r="B216" t="s">
        <v>45</v>
      </c>
      <c r="C216">
        <v>23.75</v>
      </c>
      <c r="D216">
        <v>4452</v>
      </c>
      <c r="E216">
        <v>22</v>
      </c>
      <c r="F216">
        <v>68</v>
      </c>
    </row>
    <row r="217" spans="1:6" x14ac:dyDescent="0.25">
      <c r="A217" t="s">
        <v>48</v>
      </c>
      <c r="B217" t="s">
        <v>45</v>
      </c>
      <c r="C217">
        <v>23.41</v>
      </c>
      <c r="D217">
        <v>5011</v>
      </c>
      <c r="E217">
        <v>22</v>
      </c>
      <c r="F217">
        <v>68</v>
      </c>
    </row>
    <row r="218" spans="1:6" x14ac:dyDescent="0.25">
      <c r="A218" t="s">
        <v>49</v>
      </c>
      <c r="B218" t="s">
        <v>45</v>
      </c>
      <c r="C218">
        <v>23.31</v>
      </c>
      <c r="D218">
        <v>5400</v>
      </c>
      <c r="E218">
        <v>22</v>
      </c>
      <c r="F218">
        <v>68</v>
      </c>
    </row>
    <row r="219" spans="1:6" x14ac:dyDescent="0.25">
      <c r="A219" t="s">
        <v>50</v>
      </c>
      <c r="B219" t="s">
        <v>45</v>
      </c>
      <c r="C219">
        <v>23.58</v>
      </c>
      <c r="D219">
        <v>4459</v>
      </c>
      <c r="E219">
        <v>22</v>
      </c>
      <c r="F219">
        <v>68</v>
      </c>
    </row>
    <row r="221" spans="1:6" s="2" customFormat="1" x14ac:dyDescent="0.25">
      <c r="B221" s="2" t="s">
        <v>14</v>
      </c>
      <c r="C221" s="3">
        <f t="shared" ref="C221" si="42">AVERAGE(C214:C219)</f>
        <v>23.3</v>
      </c>
      <c r="D221" s="3">
        <f t="shared" ref="D221:F221" si="43">AVERAGE(D214:D219)</f>
        <v>4824.333333333333</v>
      </c>
      <c r="E221" s="3">
        <f t="shared" si="43"/>
        <v>22</v>
      </c>
      <c r="F221" s="3">
        <f t="shared" si="43"/>
        <v>68</v>
      </c>
    </row>
    <row r="223" spans="1:6" x14ac:dyDescent="0.25">
      <c r="A223" t="s">
        <v>51</v>
      </c>
      <c r="B223" t="s">
        <v>52</v>
      </c>
      <c r="C223">
        <v>24.69</v>
      </c>
      <c r="D223">
        <v>4277</v>
      </c>
      <c r="E223">
        <v>22</v>
      </c>
      <c r="F223">
        <v>68</v>
      </c>
    </row>
    <row r="224" spans="1:6" x14ac:dyDescent="0.25">
      <c r="A224" t="s">
        <v>53</v>
      </c>
      <c r="B224" t="s">
        <v>52</v>
      </c>
      <c r="C224">
        <v>23.99</v>
      </c>
      <c r="D224">
        <v>4773</v>
      </c>
      <c r="E224">
        <v>22</v>
      </c>
      <c r="F224">
        <v>68</v>
      </c>
    </row>
    <row r="225" spans="1:6" x14ac:dyDescent="0.25">
      <c r="A225" t="s">
        <v>54</v>
      </c>
      <c r="B225" t="s">
        <v>52</v>
      </c>
      <c r="C225">
        <v>23.58</v>
      </c>
      <c r="D225">
        <v>3828</v>
      </c>
      <c r="E225">
        <v>22</v>
      </c>
      <c r="F225">
        <v>68</v>
      </c>
    </row>
    <row r="226" spans="1:6" x14ac:dyDescent="0.25">
      <c r="A226" t="s">
        <v>55</v>
      </c>
      <c r="B226" t="s">
        <v>52</v>
      </c>
      <c r="C226">
        <v>25.38</v>
      </c>
      <c r="D226">
        <v>4225</v>
      </c>
      <c r="E226">
        <v>22</v>
      </c>
      <c r="F226">
        <v>68</v>
      </c>
    </row>
    <row r="227" spans="1:6" x14ac:dyDescent="0.25">
      <c r="A227" t="s">
        <v>56</v>
      </c>
      <c r="B227" t="s">
        <v>52</v>
      </c>
      <c r="C227">
        <v>24.63</v>
      </c>
      <c r="D227">
        <v>4706</v>
      </c>
      <c r="E227">
        <v>22</v>
      </c>
      <c r="F227">
        <v>68</v>
      </c>
    </row>
    <row r="228" spans="1:6" x14ac:dyDescent="0.25">
      <c r="A228" t="s">
        <v>57</v>
      </c>
      <c r="B228" t="s">
        <v>52</v>
      </c>
      <c r="C228">
        <v>24.15</v>
      </c>
      <c r="D228">
        <v>3815</v>
      </c>
      <c r="E228">
        <v>22</v>
      </c>
      <c r="F228">
        <v>68</v>
      </c>
    </row>
    <row r="230" spans="1:6" s="2" customFormat="1" x14ac:dyDescent="0.25">
      <c r="B230" s="2" t="s">
        <v>14</v>
      </c>
      <c r="C230" s="3">
        <f t="shared" ref="C230" si="44">AVERAGE(C223:C228)</f>
        <v>24.403333333333332</v>
      </c>
      <c r="D230" s="3">
        <f t="shared" ref="D230:F230" si="45">AVERAGE(D223:D228)</f>
        <v>4270.666666666667</v>
      </c>
      <c r="E230" s="3">
        <f t="shared" si="45"/>
        <v>22</v>
      </c>
      <c r="F230" s="3">
        <f t="shared" si="45"/>
        <v>68</v>
      </c>
    </row>
    <row r="231" spans="1:6" s="2" customFormat="1" x14ac:dyDescent="0.25">
      <c r="C231" s="3"/>
      <c r="D231" s="3"/>
      <c r="E231" s="3"/>
      <c r="F231" s="3"/>
    </row>
    <row r="232" spans="1:6" s="2" customFormat="1" x14ac:dyDescent="0.25">
      <c r="C232" s="3"/>
      <c r="D232" s="3"/>
      <c r="E232" s="3"/>
      <c r="F232" s="3"/>
    </row>
    <row r="233" spans="1:6" s="2" customFormat="1" x14ac:dyDescent="0.25">
      <c r="A233" s="4" t="s">
        <v>34</v>
      </c>
      <c r="C233" s="3"/>
      <c r="D233" s="3"/>
      <c r="E233" s="3"/>
      <c r="F233" s="3"/>
    </row>
    <row r="234" spans="1:6" x14ac:dyDescent="0.25">
      <c r="A234" t="s">
        <v>37</v>
      </c>
      <c r="B234" t="s">
        <v>38</v>
      </c>
      <c r="C234">
        <v>21.29</v>
      </c>
      <c r="D234">
        <v>6879</v>
      </c>
      <c r="E234">
        <v>22</v>
      </c>
      <c r="F234">
        <v>69</v>
      </c>
    </row>
    <row r="235" spans="1:6" x14ac:dyDescent="0.25">
      <c r="A235" t="s">
        <v>39</v>
      </c>
      <c r="B235" t="s">
        <v>38</v>
      </c>
      <c r="C235">
        <v>21.59</v>
      </c>
      <c r="D235">
        <v>6386</v>
      </c>
      <c r="E235">
        <v>22</v>
      </c>
      <c r="F235">
        <v>71</v>
      </c>
    </row>
    <row r="236" spans="1:6" x14ac:dyDescent="0.25">
      <c r="A236" t="s">
        <v>40</v>
      </c>
      <c r="B236" t="s">
        <v>38</v>
      </c>
      <c r="C236">
        <v>20.61</v>
      </c>
      <c r="D236">
        <v>6411</v>
      </c>
      <c r="E236">
        <v>21</v>
      </c>
      <c r="F236">
        <v>72</v>
      </c>
    </row>
    <row r="237" spans="1:6" x14ac:dyDescent="0.25">
      <c r="A237" t="s">
        <v>41</v>
      </c>
      <c r="B237" t="s">
        <v>38</v>
      </c>
      <c r="C237">
        <v>21.11</v>
      </c>
      <c r="D237">
        <v>6413</v>
      </c>
      <c r="E237">
        <v>22</v>
      </c>
      <c r="F237">
        <v>71</v>
      </c>
    </row>
    <row r="238" spans="1:6" x14ac:dyDescent="0.25">
      <c r="A238" t="s">
        <v>42</v>
      </c>
      <c r="B238" t="s">
        <v>38</v>
      </c>
      <c r="C238">
        <v>21.14</v>
      </c>
      <c r="D238">
        <v>6820</v>
      </c>
      <c r="E238">
        <v>22</v>
      </c>
      <c r="F238">
        <v>71</v>
      </c>
    </row>
    <row r="239" spans="1:6" x14ac:dyDescent="0.25">
      <c r="A239" t="s">
        <v>43</v>
      </c>
      <c r="B239" t="s">
        <v>38</v>
      </c>
      <c r="C239">
        <v>21.05</v>
      </c>
      <c r="D239">
        <v>6783</v>
      </c>
      <c r="E239">
        <v>22</v>
      </c>
      <c r="F239">
        <v>69</v>
      </c>
    </row>
    <row r="241" spans="1:6" s="2" customFormat="1" x14ac:dyDescent="0.25">
      <c r="B241" s="2" t="s">
        <v>14</v>
      </c>
      <c r="C241" s="3">
        <f t="shared" ref="C241" si="46">AVERAGE(C234:C239)</f>
        <v>21.131666666666664</v>
      </c>
      <c r="D241" s="3">
        <f t="shared" ref="D241:F241" si="47">AVERAGE(D234:D239)</f>
        <v>6615.333333333333</v>
      </c>
      <c r="E241" s="3">
        <f t="shared" si="47"/>
        <v>21.833333333333332</v>
      </c>
      <c r="F241" s="3">
        <f t="shared" si="47"/>
        <v>70.5</v>
      </c>
    </row>
    <row r="242" spans="1:6" s="2" customFormat="1" x14ac:dyDescent="0.25">
      <c r="C242" s="3"/>
      <c r="D242" s="3"/>
      <c r="E242" s="3"/>
      <c r="F242" s="3"/>
    </row>
    <row r="243" spans="1:6" x14ac:dyDescent="0.25">
      <c r="A243" t="s">
        <v>44</v>
      </c>
      <c r="B243" t="s">
        <v>45</v>
      </c>
      <c r="C243">
        <v>22.16</v>
      </c>
      <c r="D243">
        <v>4865</v>
      </c>
      <c r="E243">
        <v>22</v>
      </c>
      <c r="F243">
        <v>69</v>
      </c>
    </row>
    <row r="244" spans="1:6" x14ac:dyDescent="0.25">
      <c r="A244" t="s">
        <v>46</v>
      </c>
      <c r="B244" t="s">
        <v>45</v>
      </c>
      <c r="C244">
        <v>23.24</v>
      </c>
      <c r="D244">
        <v>5328</v>
      </c>
      <c r="E244">
        <v>22</v>
      </c>
      <c r="F244">
        <v>70</v>
      </c>
    </row>
    <row r="245" spans="1:6" x14ac:dyDescent="0.25">
      <c r="A245" t="s">
        <v>47</v>
      </c>
      <c r="B245" t="s">
        <v>45</v>
      </c>
      <c r="C245">
        <v>23.08</v>
      </c>
      <c r="D245">
        <v>4512</v>
      </c>
      <c r="E245">
        <v>22</v>
      </c>
      <c r="F245">
        <v>69</v>
      </c>
    </row>
    <row r="246" spans="1:6" x14ac:dyDescent="0.25">
      <c r="A246" t="s">
        <v>48</v>
      </c>
      <c r="B246" t="s">
        <v>45</v>
      </c>
      <c r="C246">
        <v>22.57</v>
      </c>
      <c r="D246">
        <v>5117</v>
      </c>
      <c r="E246">
        <v>22</v>
      </c>
      <c r="F246">
        <v>69</v>
      </c>
    </row>
    <row r="247" spans="1:6" x14ac:dyDescent="0.25">
      <c r="A247" t="s">
        <v>49</v>
      </c>
      <c r="B247" t="s">
        <v>45</v>
      </c>
      <c r="C247">
        <v>22.47</v>
      </c>
      <c r="D247">
        <v>4706</v>
      </c>
      <c r="E247">
        <v>22</v>
      </c>
      <c r="F247">
        <v>68</v>
      </c>
    </row>
    <row r="248" spans="1:6" x14ac:dyDescent="0.25">
      <c r="A248" t="s">
        <v>50</v>
      </c>
      <c r="B248" t="s">
        <v>45</v>
      </c>
      <c r="C248">
        <v>22.35</v>
      </c>
      <c r="D248">
        <v>4920</v>
      </c>
      <c r="E248">
        <v>22</v>
      </c>
      <c r="F248">
        <v>69</v>
      </c>
    </row>
    <row r="250" spans="1:6" s="2" customFormat="1" x14ac:dyDescent="0.25">
      <c r="B250" s="2" t="s">
        <v>14</v>
      </c>
      <c r="C250" s="3">
        <f t="shared" ref="C250" si="48">AVERAGE(C243:C248)</f>
        <v>22.644999999999996</v>
      </c>
      <c r="D250" s="3">
        <f t="shared" ref="D250:F250" si="49">AVERAGE(D243:D248)</f>
        <v>4908</v>
      </c>
      <c r="E250" s="3">
        <f t="shared" si="49"/>
        <v>22</v>
      </c>
      <c r="F250" s="3">
        <f t="shared" si="49"/>
        <v>69</v>
      </c>
    </row>
    <row r="251" spans="1:6" s="2" customFormat="1" x14ac:dyDescent="0.25">
      <c r="C251" s="3"/>
      <c r="D251" s="3"/>
      <c r="E251" s="3"/>
      <c r="F251" s="3"/>
    </row>
    <row r="252" spans="1:6" x14ac:dyDescent="0.25">
      <c r="A252" t="s">
        <v>51</v>
      </c>
      <c r="B252" t="s">
        <v>52</v>
      </c>
      <c r="C252">
        <v>23.41</v>
      </c>
      <c r="D252">
        <v>4467</v>
      </c>
      <c r="E252">
        <v>22</v>
      </c>
      <c r="F252">
        <v>68</v>
      </c>
    </row>
    <row r="253" spans="1:6" x14ac:dyDescent="0.25">
      <c r="A253" t="s">
        <v>53</v>
      </c>
      <c r="B253" t="s">
        <v>52</v>
      </c>
      <c r="C253">
        <v>24.21</v>
      </c>
      <c r="D253">
        <v>4545</v>
      </c>
      <c r="E253">
        <v>22</v>
      </c>
      <c r="F253">
        <v>68</v>
      </c>
    </row>
    <row r="254" spans="1:6" x14ac:dyDescent="0.25">
      <c r="A254" t="s">
        <v>54</v>
      </c>
      <c r="B254" t="s">
        <v>52</v>
      </c>
      <c r="C254">
        <v>24.41</v>
      </c>
      <c r="D254">
        <v>4463</v>
      </c>
      <c r="E254">
        <v>22</v>
      </c>
      <c r="F254">
        <v>69</v>
      </c>
    </row>
    <row r="255" spans="1:6" x14ac:dyDescent="0.25">
      <c r="A255" t="s">
        <v>55</v>
      </c>
      <c r="B255" t="s">
        <v>52</v>
      </c>
      <c r="C255">
        <v>24.88</v>
      </c>
      <c r="D255">
        <v>4508</v>
      </c>
      <c r="E255">
        <v>21</v>
      </c>
      <c r="F255">
        <v>68</v>
      </c>
    </row>
    <row r="256" spans="1:6" x14ac:dyDescent="0.25">
      <c r="A256" t="s">
        <v>56</v>
      </c>
      <c r="B256" t="s">
        <v>52</v>
      </c>
      <c r="C256">
        <v>23.83</v>
      </c>
      <c r="D256">
        <v>4335</v>
      </c>
      <c r="E256">
        <v>22</v>
      </c>
      <c r="F256">
        <v>69</v>
      </c>
    </row>
    <row r="257" spans="1:6" x14ac:dyDescent="0.25">
      <c r="A257" t="s">
        <v>57</v>
      </c>
      <c r="B257" t="s">
        <v>52</v>
      </c>
      <c r="C257">
        <v>24.62</v>
      </c>
      <c r="D257">
        <v>4424</v>
      </c>
      <c r="E257">
        <v>22</v>
      </c>
      <c r="F257">
        <v>68</v>
      </c>
    </row>
    <row r="259" spans="1:6" s="2" customFormat="1" x14ac:dyDescent="0.25">
      <c r="B259" s="2" t="s">
        <v>14</v>
      </c>
      <c r="C259" s="3">
        <f t="shared" ref="C259" si="50">AVERAGE(C252:C257)</f>
        <v>24.226666666666663</v>
      </c>
      <c r="D259" s="3">
        <f t="shared" ref="D259:F259" si="51">AVERAGE(D252:D257)</f>
        <v>4457</v>
      </c>
      <c r="E259" s="3">
        <f t="shared" si="51"/>
        <v>21.833333333333332</v>
      </c>
      <c r="F259" s="3">
        <f t="shared" si="51"/>
        <v>68.333333333333329</v>
      </c>
    </row>
    <row r="260" spans="1:6" s="2" customFormat="1" x14ac:dyDescent="0.25">
      <c r="C260" s="3"/>
      <c r="D260" s="3"/>
      <c r="E260" s="3"/>
      <c r="F260" s="3"/>
    </row>
    <row r="261" spans="1:6" s="2" customFormat="1" x14ac:dyDescent="0.25">
      <c r="C261" s="3"/>
      <c r="D261" s="3"/>
      <c r="E261" s="3"/>
      <c r="F261" s="3"/>
    </row>
    <row r="262" spans="1:6" s="2" customFormat="1" x14ac:dyDescent="0.25">
      <c r="A262" s="4" t="s">
        <v>36</v>
      </c>
      <c r="C262" s="3"/>
      <c r="D262" s="3"/>
      <c r="E262" s="3"/>
      <c r="F262" s="3"/>
    </row>
    <row r="263" spans="1:6" x14ac:dyDescent="0.25">
      <c r="A263" t="s">
        <v>37</v>
      </c>
      <c r="B263" t="s">
        <v>38</v>
      </c>
      <c r="C263">
        <v>21.04</v>
      </c>
      <c r="D263">
        <v>6551</v>
      </c>
      <c r="E263">
        <v>21</v>
      </c>
      <c r="F263">
        <v>71</v>
      </c>
    </row>
    <row r="264" spans="1:6" x14ac:dyDescent="0.25">
      <c r="A264" t="s">
        <v>39</v>
      </c>
      <c r="B264" t="s">
        <v>38</v>
      </c>
      <c r="C264">
        <v>20.53</v>
      </c>
      <c r="D264">
        <v>6742</v>
      </c>
      <c r="E264">
        <v>22</v>
      </c>
      <c r="F264">
        <v>69</v>
      </c>
    </row>
    <row r="265" spans="1:6" x14ac:dyDescent="0.25">
      <c r="A265" t="s">
        <v>40</v>
      </c>
      <c r="B265" t="s">
        <v>38</v>
      </c>
      <c r="C265">
        <v>21.25</v>
      </c>
      <c r="D265">
        <v>6738</v>
      </c>
      <c r="E265">
        <v>22</v>
      </c>
      <c r="F265">
        <v>71</v>
      </c>
    </row>
    <row r="266" spans="1:6" x14ac:dyDescent="0.25">
      <c r="A266" t="s">
        <v>41</v>
      </c>
      <c r="B266" t="s">
        <v>38</v>
      </c>
      <c r="C266">
        <v>21.08</v>
      </c>
      <c r="D266">
        <v>6148</v>
      </c>
      <c r="E266">
        <v>22</v>
      </c>
      <c r="F266">
        <v>69</v>
      </c>
    </row>
    <row r="267" spans="1:6" x14ac:dyDescent="0.25">
      <c r="A267" t="s">
        <v>42</v>
      </c>
      <c r="B267" t="s">
        <v>38</v>
      </c>
      <c r="C267">
        <v>20.7</v>
      </c>
      <c r="D267">
        <v>6295</v>
      </c>
      <c r="E267">
        <v>22</v>
      </c>
      <c r="F267">
        <v>70</v>
      </c>
    </row>
    <row r="268" spans="1:6" x14ac:dyDescent="0.25">
      <c r="A268" t="s">
        <v>43</v>
      </c>
      <c r="B268" t="s">
        <v>38</v>
      </c>
      <c r="C268">
        <v>20.88</v>
      </c>
      <c r="D268">
        <v>6695</v>
      </c>
      <c r="E268">
        <v>22</v>
      </c>
      <c r="F268">
        <v>70</v>
      </c>
    </row>
    <row r="270" spans="1:6" s="2" customFormat="1" x14ac:dyDescent="0.25">
      <c r="B270" s="2" t="s">
        <v>14</v>
      </c>
      <c r="C270" s="3">
        <f t="shared" ref="C270" si="52">AVERAGE(C263:C268)</f>
        <v>20.913333333333334</v>
      </c>
      <c r="D270" s="3">
        <f t="shared" ref="D270:F270" si="53">AVERAGE(D263:D268)</f>
        <v>6528.166666666667</v>
      </c>
      <c r="E270" s="3">
        <f t="shared" si="53"/>
        <v>21.833333333333332</v>
      </c>
      <c r="F270" s="3">
        <f t="shared" si="53"/>
        <v>70</v>
      </c>
    </row>
    <row r="271" spans="1:6" s="2" customFormat="1" x14ac:dyDescent="0.25">
      <c r="C271" s="3"/>
      <c r="D271" s="3"/>
      <c r="E271" s="3"/>
      <c r="F271" s="3"/>
    </row>
    <row r="272" spans="1:6" x14ac:dyDescent="0.25">
      <c r="A272" t="s">
        <v>44</v>
      </c>
      <c r="B272" t="s">
        <v>45</v>
      </c>
      <c r="C272">
        <v>22.53</v>
      </c>
      <c r="D272">
        <v>4616</v>
      </c>
      <c r="E272">
        <v>22</v>
      </c>
      <c r="F272">
        <v>69</v>
      </c>
    </row>
    <row r="273" spans="1:6" x14ac:dyDescent="0.25">
      <c r="A273" t="s">
        <v>46</v>
      </c>
      <c r="B273" t="s">
        <v>45</v>
      </c>
      <c r="C273">
        <v>22.83</v>
      </c>
      <c r="D273">
        <v>4940</v>
      </c>
      <c r="E273">
        <v>22</v>
      </c>
      <c r="F273">
        <v>70</v>
      </c>
    </row>
    <row r="274" spans="1:6" x14ac:dyDescent="0.25">
      <c r="A274" t="s">
        <v>47</v>
      </c>
      <c r="B274" t="s">
        <v>45</v>
      </c>
      <c r="C274">
        <v>23.73</v>
      </c>
      <c r="D274">
        <v>5255</v>
      </c>
      <c r="E274">
        <v>22</v>
      </c>
      <c r="F274">
        <v>71</v>
      </c>
    </row>
    <row r="275" spans="1:6" x14ac:dyDescent="0.25">
      <c r="A275" t="s">
        <v>48</v>
      </c>
      <c r="B275" t="s">
        <v>45</v>
      </c>
      <c r="C275">
        <v>22.9</v>
      </c>
      <c r="D275">
        <v>5241</v>
      </c>
      <c r="E275">
        <v>22</v>
      </c>
      <c r="F275">
        <v>69</v>
      </c>
    </row>
    <row r="276" spans="1:6" x14ac:dyDescent="0.25">
      <c r="A276" t="s">
        <v>49</v>
      </c>
      <c r="B276" t="s">
        <v>45</v>
      </c>
      <c r="C276">
        <v>22.54</v>
      </c>
      <c r="D276">
        <v>5353</v>
      </c>
      <c r="E276">
        <v>22</v>
      </c>
      <c r="F276">
        <v>70</v>
      </c>
    </row>
    <row r="277" spans="1:6" x14ac:dyDescent="0.25">
      <c r="A277" t="s">
        <v>50</v>
      </c>
      <c r="B277" t="s">
        <v>45</v>
      </c>
      <c r="C277">
        <v>23.38</v>
      </c>
      <c r="D277">
        <v>5344</v>
      </c>
      <c r="E277">
        <v>22</v>
      </c>
      <c r="F277">
        <v>70</v>
      </c>
    </row>
    <row r="279" spans="1:6" s="2" customFormat="1" x14ac:dyDescent="0.25">
      <c r="B279" s="2" t="s">
        <v>14</v>
      </c>
      <c r="C279" s="3">
        <f t="shared" ref="C279" si="54">AVERAGE(C272:C277)</f>
        <v>22.984999999999999</v>
      </c>
      <c r="D279" s="3">
        <f t="shared" ref="D279:F279" si="55">AVERAGE(D272:D277)</f>
        <v>5124.833333333333</v>
      </c>
      <c r="E279" s="3">
        <f t="shared" si="55"/>
        <v>22</v>
      </c>
      <c r="F279" s="3">
        <f t="shared" si="55"/>
        <v>69.833333333333329</v>
      </c>
    </row>
    <row r="280" spans="1:6" s="2" customFormat="1" x14ac:dyDescent="0.25">
      <c r="C280" s="3"/>
      <c r="D280" s="3"/>
      <c r="E280" s="3"/>
      <c r="F280" s="3"/>
    </row>
    <row r="281" spans="1:6" x14ac:dyDescent="0.25">
      <c r="A281" t="s">
        <v>51</v>
      </c>
      <c r="B281" t="s">
        <v>52</v>
      </c>
      <c r="C281">
        <v>24.29</v>
      </c>
      <c r="D281">
        <v>4067</v>
      </c>
      <c r="E281">
        <v>22</v>
      </c>
      <c r="F281">
        <v>68</v>
      </c>
    </row>
    <row r="282" spans="1:6" x14ac:dyDescent="0.25">
      <c r="A282" t="s">
        <v>53</v>
      </c>
      <c r="B282" t="s">
        <v>52</v>
      </c>
      <c r="C282">
        <v>25.9</v>
      </c>
      <c r="D282">
        <v>4388</v>
      </c>
      <c r="E282">
        <v>22</v>
      </c>
      <c r="F282">
        <v>68</v>
      </c>
    </row>
    <row r="283" spans="1:6" x14ac:dyDescent="0.25">
      <c r="A283" t="s">
        <v>54</v>
      </c>
      <c r="B283" t="s">
        <v>52</v>
      </c>
      <c r="C283">
        <v>24.96</v>
      </c>
      <c r="D283">
        <v>3737</v>
      </c>
      <c r="E283">
        <v>23</v>
      </c>
      <c r="F283">
        <v>66</v>
      </c>
    </row>
    <row r="284" spans="1:6" x14ac:dyDescent="0.25">
      <c r="A284" t="s">
        <v>55</v>
      </c>
      <c r="B284" t="s">
        <v>52</v>
      </c>
      <c r="C284">
        <v>24.59</v>
      </c>
      <c r="D284">
        <v>4323</v>
      </c>
      <c r="E284">
        <v>22</v>
      </c>
      <c r="F284">
        <v>68</v>
      </c>
    </row>
    <row r="285" spans="1:6" x14ac:dyDescent="0.25">
      <c r="A285" t="s">
        <v>56</v>
      </c>
      <c r="B285" t="s">
        <v>52</v>
      </c>
      <c r="C285">
        <v>24.54</v>
      </c>
      <c r="D285">
        <v>4229</v>
      </c>
      <c r="E285">
        <v>22</v>
      </c>
      <c r="F285">
        <v>68</v>
      </c>
    </row>
    <row r="286" spans="1:6" x14ac:dyDescent="0.25">
      <c r="A286" t="s">
        <v>57</v>
      </c>
      <c r="B286" t="s">
        <v>52</v>
      </c>
      <c r="C286">
        <v>24.27</v>
      </c>
      <c r="D286">
        <v>3898</v>
      </c>
      <c r="E286">
        <v>22</v>
      </c>
      <c r="F286">
        <v>66</v>
      </c>
    </row>
    <row r="288" spans="1:6" s="2" customFormat="1" x14ac:dyDescent="0.25">
      <c r="B288" s="2" t="s">
        <v>14</v>
      </c>
      <c r="C288" s="3">
        <f t="shared" ref="C288" si="56">AVERAGE(C281:C286)</f>
        <v>24.758333333333336</v>
      </c>
      <c r="D288" s="3">
        <f t="shared" ref="D288:F288" si="57">AVERAGE(D281:D286)</f>
        <v>4107</v>
      </c>
      <c r="E288" s="3">
        <f t="shared" si="57"/>
        <v>22.166666666666668</v>
      </c>
      <c r="F288" s="3">
        <f t="shared" si="57"/>
        <v>67.333333333333329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OFDA Hemp Diameter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Tesema, Addisu Ferede</dc:creator>
  <cp:lastModifiedBy>Tesema, Addisu Ferede</cp:lastModifiedBy>
  <dcterms:created xsi:type="dcterms:W3CDTF">2025-08-18T17:49:30Z</dcterms:created>
  <dcterms:modified xsi:type="dcterms:W3CDTF">2025-08-18T18:00:24Z</dcterms:modified>
</cp:coreProperties>
</file>